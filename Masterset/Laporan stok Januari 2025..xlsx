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BELINDO_LOGISTIK\LAPORAN STOK LOGISTIK\"/>
    </mc:Choice>
  </mc:AlternateContent>
  <xr:revisionPtr revIDLastSave="0" documentId="8_{73C13853-9BD5-4A92-8D98-BAEE1C91471E}" xr6:coauthVersionLast="47" xr6:coauthVersionMax="47" xr10:uidLastSave="{00000000-0000-0000-0000-000000000000}"/>
  <bookViews>
    <workbookView xWindow="0" yWindow="420" windowWidth="20490" windowHeight="10380" xr2:uid="{00000000-000D-0000-FFFF-FFFF00000000}"/>
  </bookViews>
  <sheets>
    <sheet name="Sheet1" sheetId="1" r:id="rId1"/>
    <sheet name="Sheet2" sheetId="2" r:id="rId2"/>
    <sheet name="Sheet3" sheetId="4" r:id="rId3"/>
  </sheets>
  <definedNames>
    <definedName name="_xlnm.Print_Area" localSheetId="0">Sheet1!$A$671:$L$694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6" i="1" l="1"/>
  <c r="N408" i="1"/>
  <c r="N286" i="1"/>
  <c r="N479" i="1"/>
  <c r="N74" i="1" l="1"/>
  <c r="N70" i="1"/>
  <c r="N68" i="1"/>
  <c r="N224" i="1" l="1"/>
  <c r="N167" i="1"/>
  <c r="N164" i="1"/>
  <c r="N157" i="1"/>
  <c r="N649" i="1" l="1"/>
  <c r="N404" i="1"/>
  <c r="N403" i="1"/>
  <c r="N497" i="1"/>
  <c r="N517" i="1"/>
  <c r="N518" i="1"/>
  <c r="N313" i="1"/>
  <c r="N312" i="1"/>
  <c r="N569" i="1"/>
  <c r="N566" i="1"/>
  <c r="N558" i="1"/>
  <c r="N412" i="1" l="1"/>
  <c r="N485" i="1"/>
  <c r="N295" i="1"/>
  <c r="N402" i="1"/>
  <c r="N141" i="1"/>
  <c r="N140" i="1"/>
  <c r="N128" i="1"/>
  <c r="N99" i="1"/>
  <c r="N81" i="1"/>
  <c r="N441" i="1" l="1"/>
  <c r="N440" i="1"/>
  <c r="N448" i="1"/>
  <c r="N415" i="1"/>
  <c r="N212" i="1" l="1"/>
  <c r="N190" i="1" l="1"/>
  <c r="N42" i="1"/>
  <c r="N41" i="1"/>
  <c r="N40" i="1"/>
  <c r="N39" i="1"/>
  <c r="N38" i="1"/>
  <c r="N526" i="1" l="1"/>
  <c r="N525" i="1"/>
  <c r="N524" i="1"/>
  <c r="N523" i="1"/>
  <c r="N522" i="1"/>
  <c r="N557" i="1"/>
  <c r="N579" i="1"/>
  <c r="N578" i="1"/>
  <c r="N581" i="1"/>
  <c r="N580" i="1"/>
  <c r="N568" i="1"/>
  <c r="N358" i="1"/>
  <c r="N356" i="1"/>
  <c r="N258" i="1"/>
  <c r="N256" i="1"/>
  <c r="N255" i="1"/>
  <c r="N251" i="1"/>
  <c r="N363" i="1"/>
  <c r="N322" i="1"/>
  <c r="N121" i="1"/>
  <c r="N120" i="1"/>
  <c r="N118" i="1"/>
  <c r="N116" i="1"/>
  <c r="N439" i="1" l="1"/>
  <c r="N432" i="1"/>
  <c r="N434" i="1"/>
  <c r="N223" i="1"/>
  <c r="N213" i="1"/>
  <c r="N166" i="1"/>
  <c r="K693" i="1" l="1"/>
  <c r="I693" i="1"/>
  <c r="G693" i="1" l="1"/>
  <c r="F693" i="1"/>
  <c r="E693" i="1"/>
  <c r="D693" i="1"/>
  <c r="C693" i="1"/>
  <c r="N132" i="1" l="1"/>
  <c r="N131" i="1"/>
  <c r="N129" i="1"/>
  <c r="N142" i="1"/>
  <c r="N381" i="1"/>
  <c r="N367" i="1"/>
  <c r="N91" i="1"/>
  <c r="N458" i="1"/>
  <c r="N163" i="1"/>
  <c r="N50" i="1"/>
  <c r="N48" i="1"/>
  <c r="N617" i="1"/>
  <c r="N133" i="1" l="1"/>
  <c r="N534" i="1"/>
  <c r="N533" i="1"/>
  <c r="N528" i="1"/>
  <c r="N530" i="1"/>
  <c r="N652" i="1" l="1"/>
  <c r="N467" i="1"/>
  <c r="N148" i="1" l="1"/>
  <c r="Q14" i="2" l="1"/>
  <c r="Q13" i="2"/>
  <c r="Q12" i="2"/>
  <c r="Q11" i="2"/>
  <c r="Q10" i="2"/>
  <c r="Q9" i="2"/>
  <c r="K15" i="2"/>
  <c r="N590" i="1" l="1"/>
  <c r="N465" i="1" l="1"/>
  <c r="N462" i="1"/>
  <c r="N464" i="1"/>
  <c r="N463" i="1"/>
  <c r="N469" i="1"/>
  <c r="N480" i="1"/>
  <c r="N471" i="1"/>
  <c r="N601" i="1" l="1"/>
  <c r="N65" i="1"/>
  <c r="N450" i="1" l="1"/>
  <c r="N239" i="1"/>
  <c r="N399" i="1"/>
  <c r="N398" i="1"/>
  <c r="N309" i="1"/>
  <c r="N211" i="1"/>
  <c r="N168" i="1"/>
  <c r="J15" i="2" l="1"/>
  <c r="H535" i="4" l="1"/>
  <c r="H85" i="4"/>
  <c r="H106" i="4"/>
  <c r="H54" i="4"/>
  <c r="H409" i="4"/>
  <c r="H352" i="4"/>
  <c r="H229" i="4"/>
  <c r="H426" i="4"/>
  <c r="H425" i="4"/>
  <c r="H536" i="4" l="1"/>
  <c r="H375" i="4"/>
  <c r="H230" i="4"/>
  <c r="H26" i="4"/>
  <c r="H12" i="4"/>
  <c r="H105" i="4"/>
  <c r="N560" i="1" l="1"/>
  <c r="N496" i="1" l="1"/>
  <c r="N559" i="1"/>
  <c r="N455" i="1"/>
  <c r="N108" i="1"/>
  <c r="N144" i="1"/>
  <c r="N143" i="1"/>
  <c r="N491" i="1"/>
  <c r="N653" i="1" l="1"/>
  <c r="N659" i="1"/>
  <c r="N651" i="1"/>
  <c r="N78" i="1"/>
  <c r="N76" i="1"/>
  <c r="N417" i="1"/>
  <c r="N451" i="1"/>
  <c r="N296" i="1"/>
  <c r="N52" i="1"/>
  <c r="N27" i="1"/>
  <c r="N12" i="1"/>
  <c r="G558" i="4" l="1"/>
  <c r="I15" i="2" l="1"/>
  <c r="G556" i="4"/>
  <c r="F459" i="4"/>
  <c r="G358" i="4"/>
  <c r="F358" i="4"/>
  <c r="E358" i="4"/>
  <c r="D358" i="4"/>
  <c r="G108" i="4"/>
  <c r="F108" i="4"/>
  <c r="E108" i="4"/>
  <c r="D108" i="4"/>
  <c r="G174" i="4"/>
  <c r="F174" i="4"/>
  <c r="E174" i="4"/>
  <c r="D174" i="4"/>
  <c r="H306" i="4"/>
  <c r="H58" i="4"/>
  <c r="H466" i="4"/>
  <c r="H473" i="4"/>
  <c r="H472" i="4"/>
  <c r="H294" i="4"/>
  <c r="H292" i="4"/>
  <c r="H291" i="4"/>
  <c r="H293" i="4"/>
  <c r="H290" i="4"/>
  <c r="H289" i="4"/>
  <c r="H499" i="4"/>
  <c r="H402" i="4"/>
  <c r="H401" i="4"/>
  <c r="H307" i="4"/>
  <c r="H380" i="4"/>
  <c r="H190" i="4"/>
  <c r="H92" i="4"/>
  <c r="H171" i="4"/>
  <c r="H163" i="4"/>
  <c r="M662" i="1" l="1"/>
  <c r="L662" i="1"/>
  <c r="K662" i="1"/>
  <c r="J662" i="1"/>
  <c r="H662" i="1"/>
  <c r="F662" i="1"/>
  <c r="E662" i="1"/>
  <c r="D662" i="1"/>
  <c r="M637" i="1"/>
  <c r="L637" i="1"/>
  <c r="K637" i="1"/>
  <c r="J637" i="1"/>
  <c r="H637" i="1"/>
  <c r="F637" i="1"/>
  <c r="E637" i="1"/>
  <c r="D637" i="1"/>
  <c r="M603" i="1"/>
  <c r="L603" i="1"/>
  <c r="K603" i="1"/>
  <c r="J603" i="1"/>
  <c r="H603" i="1"/>
  <c r="F603" i="1"/>
  <c r="E603" i="1"/>
  <c r="D603" i="1"/>
  <c r="M592" i="1"/>
  <c r="L592" i="1"/>
  <c r="K592" i="1"/>
  <c r="J592" i="1"/>
  <c r="H592" i="1"/>
  <c r="F592" i="1"/>
  <c r="E592" i="1"/>
  <c r="D592" i="1"/>
  <c r="M536" i="1"/>
  <c r="L536" i="1"/>
  <c r="K536" i="1"/>
  <c r="J536" i="1"/>
  <c r="H536" i="1"/>
  <c r="F536" i="1"/>
  <c r="E536" i="1"/>
  <c r="D536" i="1"/>
  <c r="M421" i="1"/>
  <c r="L421" i="1"/>
  <c r="K421" i="1"/>
  <c r="J421" i="1"/>
  <c r="H421" i="1"/>
  <c r="F421" i="1"/>
  <c r="E421" i="1"/>
  <c r="D421" i="1"/>
  <c r="M316" i="1"/>
  <c r="L316" i="1"/>
  <c r="K316" i="1"/>
  <c r="J316" i="1"/>
  <c r="H316" i="1"/>
  <c r="F316" i="1"/>
  <c r="E316" i="1"/>
  <c r="D316" i="1"/>
  <c r="M146" i="1"/>
  <c r="L146" i="1"/>
  <c r="K146" i="1"/>
  <c r="J146" i="1"/>
  <c r="H146" i="1"/>
  <c r="F146" i="1"/>
  <c r="E146" i="1"/>
  <c r="D146" i="1"/>
  <c r="M229" i="1"/>
  <c r="L229" i="1"/>
  <c r="K229" i="1"/>
  <c r="J229" i="1"/>
  <c r="H229" i="1"/>
  <c r="F229" i="1"/>
  <c r="E229" i="1"/>
  <c r="D229" i="1"/>
  <c r="N597" i="1"/>
  <c r="N357" i="1"/>
  <c r="N355" i="1"/>
  <c r="N354" i="1"/>
  <c r="N483" i="1"/>
  <c r="N482" i="1"/>
  <c r="N510" i="1"/>
  <c r="N259" i="1"/>
  <c r="N114" i="1"/>
  <c r="N372" i="1"/>
  <c r="N373" i="1"/>
  <c r="N72" i="1" l="1"/>
  <c r="N353" i="1"/>
  <c r="N221" i="1"/>
  <c r="N352" i="1"/>
  <c r="N351" i="1"/>
  <c r="N210" i="1"/>
  <c r="L560" i="4" l="1"/>
  <c r="L559" i="4"/>
  <c r="L558" i="4"/>
  <c r="L557" i="4"/>
  <c r="L556" i="4"/>
  <c r="H98" i="4"/>
  <c r="H287" i="4"/>
  <c r="H288" i="4"/>
  <c r="H262" i="4"/>
  <c r="H213" i="4"/>
  <c r="H179" i="4"/>
  <c r="H157" i="4"/>
  <c r="H333" i="4"/>
  <c r="H437" i="4"/>
  <c r="H197" i="4"/>
  <c r="H195" i="4"/>
  <c r="H139" i="4"/>
  <c r="H122" i="4"/>
  <c r="H144" i="4"/>
  <c r="H142" i="4"/>
  <c r="H130" i="4"/>
  <c r="H125" i="4"/>
  <c r="H416" i="4"/>
  <c r="H463" i="4"/>
  <c r="H148" i="4"/>
  <c r="H141" i="4"/>
  <c r="N257" i="1" l="1"/>
  <c r="N228" i="1"/>
  <c r="N127" i="1"/>
  <c r="N350" i="1"/>
  <c r="N349" i="1"/>
  <c r="N325" i="1"/>
  <c r="N277" i="1"/>
  <c r="N204" i="1" l="1"/>
  <c r="N203" i="1"/>
  <c r="N193" i="1"/>
  <c r="N162" i="1"/>
  <c r="N185" i="1"/>
  <c r="N175" i="1"/>
  <c r="N171" i="1"/>
  <c r="H468" i="4" l="1"/>
  <c r="H477" i="4"/>
  <c r="H79" i="4"/>
  <c r="H168" i="4"/>
  <c r="H124" i="4"/>
  <c r="H143" i="4"/>
  <c r="H140" i="4"/>
  <c r="H44" i="4"/>
  <c r="H196" i="4"/>
  <c r="H328" i="4"/>
  <c r="H513" i="4"/>
  <c r="H194" i="4"/>
  <c r="H193" i="4"/>
  <c r="N552" i="1" l="1"/>
  <c r="N567" i="1"/>
  <c r="N254" i="1"/>
  <c r="N253" i="1"/>
  <c r="N252" i="1"/>
  <c r="N101" i="1"/>
  <c r="N397" i="1"/>
  <c r="N218" i="1"/>
  <c r="N169" i="1"/>
  <c r="N189" i="1"/>
  <c r="N56" i="1"/>
  <c r="N619" i="1"/>
  <c r="L555" i="4" l="1"/>
  <c r="H465" i="4" l="1"/>
  <c r="H464" i="4"/>
  <c r="H318" i="4"/>
  <c r="H170" i="4"/>
  <c r="H156" i="4"/>
  <c r="H153" i="4"/>
  <c r="H169" i="4"/>
  <c r="H111" i="4"/>
  <c r="H112" i="4"/>
  <c r="H29" i="4"/>
  <c r="H90" i="4"/>
  <c r="H236" i="4"/>
  <c r="H52" i="4"/>
  <c r="H28" i="4"/>
  <c r="N456" i="1" l="1"/>
  <c r="N576" i="1" l="1"/>
  <c r="N112" i="1"/>
  <c r="N303" i="1" l="1"/>
  <c r="N220" i="1"/>
  <c r="N219" i="1"/>
  <c r="N197" i="1"/>
  <c r="N202" i="1"/>
  <c r="N201" i="1"/>
  <c r="N154" i="1"/>
  <c r="N153" i="1"/>
  <c r="N184" i="1"/>
  <c r="N183" i="1"/>
  <c r="N176" i="1"/>
  <c r="N64" i="1"/>
  <c r="N33" i="1"/>
  <c r="N30" i="1"/>
  <c r="K562" i="4" l="1"/>
  <c r="J562" i="4"/>
  <c r="I562" i="4"/>
  <c r="H562" i="4"/>
  <c r="F562" i="4"/>
  <c r="E562" i="4"/>
  <c r="D562" i="4"/>
  <c r="C562" i="4"/>
  <c r="L562" i="4"/>
  <c r="H286" i="4"/>
  <c r="H57" i="4"/>
  <c r="H410" i="4"/>
  <c r="H408" i="4"/>
  <c r="H146" i="4"/>
  <c r="H113" i="4"/>
  <c r="H116" i="4"/>
  <c r="H117" i="4"/>
  <c r="H115" i="4"/>
  <c r="H114" i="4"/>
  <c r="H132" i="4"/>
  <c r="H131" i="4"/>
  <c r="H33" i="4"/>
  <c r="H11" i="4"/>
  <c r="H237" i="4"/>
  <c r="H17" i="4"/>
  <c r="H16" i="4"/>
  <c r="H15" i="4"/>
  <c r="H14" i="4"/>
  <c r="H406" i="4"/>
  <c r="H66" i="4"/>
  <c r="H208" i="4"/>
  <c r="H150" i="4"/>
  <c r="H118" i="4"/>
  <c r="H36" i="4"/>
  <c r="H192" i="4"/>
  <c r="H166" i="4"/>
  <c r="N289" i="1" l="1"/>
  <c r="N386" i="1"/>
  <c r="N383" i="1"/>
  <c r="N138" i="1"/>
  <c r="N348" i="1"/>
  <c r="N89" i="1" l="1"/>
  <c r="N85" i="1"/>
  <c r="N83" i="1"/>
  <c r="N71" i="1"/>
  <c r="N272" i="1"/>
  <c r="N195" i="1" l="1"/>
  <c r="N156" i="1"/>
  <c r="N151" i="1"/>
  <c r="N150" i="1"/>
  <c r="N152" i="1"/>
  <c r="N178" i="1"/>
  <c r="N177" i="1"/>
  <c r="N35" i="1"/>
  <c r="N37" i="1"/>
  <c r="N18" i="1"/>
  <c r="N17" i="1"/>
  <c r="N16" i="1"/>
  <c r="N15" i="1"/>
  <c r="N14" i="1"/>
  <c r="N13" i="1"/>
  <c r="N226" i="1" l="1"/>
  <c r="N155" i="1"/>
  <c r="N377" i="1"/>
  <c r="N492" i="1"/>
  <c r="N490" i="1"/>
  <c r="N304" i="1"/>
  <c r="N45" i="1"/>
  <c r="N487" i="1"/>
  <c r="N488" i="1"/>
  <c r="N227" i="1"/>
  <c r="N158" i="1"/>
  <c r="H383" i="4" l="1"/>
  <c r="H405" i="4"/>
  <c r="H320" i="4"/>
  <c r="H231" i="4"/>
  <c r="H329" i="4"/>
  <c r="H327" i="4"/>
  <c r="H325" i="4"/>
  <c r="H162" i="4"/>
  <c r="H147" i="4"/>
  <c r="H121" i="4"/>
  <c r="H120" i="4"/>
  <c r="H119" i="4"/>
  <c r="H129" i="4"/>
  <c r="H127" i="4"/>
  <c r="H15" i="2"/>
  <c r="G15" i="2"/>
  <c r="F15" i="2"/>
  <c r="E15" i="2"/>
  <c r="D15" i="2"/>
  <c r="H474" i="4" l="1"/>
  <c r="H350" i="4"/>
  <c r="H228" i="4"/>
  <c r="H191" i="4"/>
  <c r="H304" i="4"/>
  <c r="H303" i="4"/>
  <c r="H75" i="4"/>
  <c r="H74" i="4"/>
  <c r="H267" i="4"/>
  <c r="H367" i="4"/>
  <c r="H321" i="4" l="1"/>
  <c r="N57" i="1" l="1"/>
  <c r="N571" i="1"/>
  <c r="N574" i="1"/>
  <c r="N565" i="1"/>
  <c r="N470" i="1"/>
  <c r="N290" i="1"/>
  <c r="N444" i="1"/>
  <c r="N436" i="1"/>
  <c r="N447" i="1"/>
  <c r="N308" i="1"/>
  <c r="N216" i="1"/>
  <c r="N161" i="1"/>
  <c r="N160" i="1"/>
  <c r="N159" i="1"/>
  <c r="N613" i="1"/>
  <c r="N460" i="1"/>
  <c r="N461" i="1"/>
  <c r="N561" i="1"/>
  <c r="N260" i="1"/>
  <c r="N119" i="1"/>
  <c r="N188" i="1"/>
  <c r="N307" i="1"/>
  <c r="N280" i="1"/>
  <c r="N192" i="1"/>
  <c r="N209" i="1"/>
  <c r="N413" i="1"/>
  <c r="N548" i="1"/>
  <c r="N547" i="1"/>
  <c r="N549" i="1"/>
  <c r="N550" i="1"/>
  <c r="N554" i="1"/>
  <c r="N551" i="1"/>
  <c r="N564" i="1"/>
  <c r="N364" i="1"/>
  <c r="N361" i="1"/>
  <c r="N170" i="1"/>
  <c r="N174" i="1"/>
  <c r="N323" i="1"/>
  <c r="N632" i="1"/>
  <c r="N298" i="1"/>
  <c r="N297" i="1"/>
  <c r="N395" i="1"/>
  <c r="N390" i="1"/>
  <c r="N394" i="1"/>
  <c r="N393" i="1"/>
  <c r="N97" i="1"/>
  <c r="N96" i="1"/>
  <c r="H526" i="4" l="1"/>
  <c r="G560" i="4" l="1"/>
  <c r="G559" i="4"/>
  <c r="G557" i="4"/>
  <c r="G555" i="4"/>
  <c r="G544" i="4"/>
  <c r="F544" i="4"/>
  <c r="E544" i="4"/>
  <c r="D544" i="4"/>
  <c r="H543" i="4"/>
  <c r="H542" i="4"/>
  <c r="H541" i="4"/>
  <c r="H540" i="4"/>
  <c r="H539" i="4"/>
  <c r="H538" i="4"/>
  <c r="H537" i="4"/>
  <c r="H534" i="4"/>
  <c r="H533" i="4"/>
  <c r="G529" i="4"/>
  <c r="F529" i="4"/>
  <c r="E529" i="4"/>
  <c r="D529" i="4"/>
  <c r="H528" i="4"/>
  <c r="H527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2" i="4"/>
  <c r="H511" i="4"/>
  <c r="H510" i="4"/>
  <c r="H509" i="4"/>
  <c r="H508" i="4"/>
  <c r="G505" i="4"/>
  <c r="F505" i="4"/>
  <c r="E505" i="4"/>
  <c r="D505" i="4"/>
  <c r="H503" i="4"/>
  <c r="H502" i="4"/>
  <c r="H501" i="4"/>
  <c r="H500" i="4"/>
  <c r="H498" i="4"/>
  <c r="H497" i="4"/>
  <c r="G493" i="4"/>
  <c r="F493" i="4"/>
  <c r="E493" i="4"/>
  <c r="D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6" i="4"/>
  <c r="H475" i="4"/>
  <c r="H471" i="4"/>
  <c r="H470" i="4"/>
  <c r="H469" i="4"/>
  <c r="H467" i="4"/>
  <c r="H462" i="4"/>
  <c r="G459" i="4"/>
  <c r="E459" i="4"/>
  <c r="D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6" i="4"/>
  <c r="H435" i="4"/>
  <c r="H434" i="4"/>
  <c r="H433" i="4"/>
  <c r="H432" i="4"/>
  <c r="H431" i="4"/>
  <c r="H430" i="4"/>
  <c r="H429" i="4"/>
  <c r="H428" i="4"/>
  <c r="H427" i="4"/>
  <c r="H424" i="4"/>
  <c r="H423" i="4"/>
  <c r="H422" i="4"/>
  <c r="H421" i="4"/>
  <c r="H420" i="4"/>
  <c r="H419" i="4"/>
  <c r="H418" i="4"/>
  <c r="H417" i="4"/>
  <c r="H415" i="4"/>
  <c r="H414" i="4"/>
  <c r="H413" i="4"/>
  <c r="H412" i="4"/>
  <c r="H411" i="4"/>
  <c r="H407" i="4"/>
  <c r="H404" i="4"/>
  <c r="H403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2" i="4"/>
  <c r="H381" i="4"/>
  <c r="H379" i="4"/>
  <c r="H378" i="4"/>
  <c r="H377" i="4"/>
  <c r="H376" i="4"/>
  <c r="H374" i="4"/>
  <c r="H373" i="4"/>
  <c r="H372" i="4"/>
  <c r="H371" i="4"/>
  <c r="H370" i="4"/>
  <c r="H369" i="4"/>
  <c r="H368" i="4"/>
  <c r="H366" i="4"/>
  <c r="H365" i="4"/>
  <c r="H364" i="4"/>
  <c r="H363" i="4"/>
  <c r="H362" i="4"/>
  <c r="H357" i="4"/>
  <c r="H356" i="4"/>
  <c r="H355" i="4"/>
  <c r="H354" i="4"/>
  <c r="H353" i="4"/>
  <c r="H351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2" i="4"/>
  <c r="H331" i="4"/>
  <c r="H330" i="4"/>
  <c r="H326" i="4"/>
  <c r="H324" i="4"/>
  <c r="H323" i="4"/>
  <c r="H322" i="4"/>
  <c r="H319" i="4"/>
  <c r="H317" i="4"/>
  <c r="H316" i="4"/>
  <c r="H315" i="4"/>
  <c r="H314" i="4"/>
  <c r="H313" i="4"/>
  <c r="H312" i="4"/>
  <c r="H311" i="4"/>
  <c r="H310" i="4"/>
  <c r="H309" i="4"/>
  <c r="H308" i="4"/>
  <c r="H305" i="4"/>
  <c r="H302" i="4"/>
  <c r="H301" i="4"/>
  <c r="H300" i="4"/>
  <c r="H299" i="4"/>
  <c r="H298" i="4"/>
  <c r="H297" i="4"/>
  <c r="H296" i="4"/>
  <c r="H295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6" i="4"/>
  <c r="H265" i="4"/>
  <c r="H264" i="4"/>
  <c r="H263" i="4"/>
  <c r="H261" i="4"/>
  <c r="H260" i="4"/>
  <c r="H259" i="4"/>
  <c r="H258" i="4"/>
  <c r="H257" i="4"/>
  <c r="G255" i="4"/>
  <c r="F255" i="4"/>
  <c r="E255" i="4"/>
  <c r="D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5" i="4"/>
  <c r="H234" i="4"/>
  <c r="H233" i="4"/>
  <c r="H232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2" i="4"/>
  <c r="H211" i="4"/>
  <c r="H210" i="4"/>
  <c r="H209" i="4"/>
  <c r="H207" i="4"/>
  <c r="H206" i="4"/>
  <c r="H205" i="4"/>
  <c r="H204" i="4"/>
  <c r="H203" i="4"/>
  <c r="H202" i="4"/>
  <c r="H201" i="4"/>
  <c r="H200" i="4"/>
  <c r="H199" i="4"/>
  <c r="H189" i="4"/>
  <c r="H188" i="4"/>
  <c r="H187" i="4"/>
  <c r="H186" i="4"/>
  <c r="H185" i="4"/>
  <c r="H184" i="4"/>
  <c r="H183" i="4"/>
  <c r="H182" i="4"/>
  <c r="H181" i="4"/>
  <c r="H180" i="4"/>
  <c r="H178" i="4"/>
  <c r="H177" i="4"/>
  <c r="H198" i="4"/>
  <c r="H173" i="4"/>
  <c r="H172" i="4"/>
  <c r="H167" i="4"/>
  <c r="H165" i="4"/>
  <c r="H164" i="4"/>
  <c r="H161" i="4"/>
  <c r="H160" i="4"/>
  <c r="H159" i="4"/>
  <c r="H158" i="4"/>
  <c r="H155" i="4"/>
  <c r="H154" i="4"/>
  <c r="H152" i="4"/>
  <c r="H151" i="4"/>
  <c r="H149" i="4"/>
  <c r="H145" i="4"/>
  <c r="H138" i="4"/>
  <c r="H137" i="4"/>
  <c r="H136" i="4"/>
  <c r="H135" i="4"/>
  <c r="H134" i="4"/>
  <c r="H133" i="4"/>
  <c r="H128" i="4"/>
  <c r="H126" i="4"/>
  <c r="H123" i="4"/>
  <c r="H110" i="4"/>
  <c r="H107" i="4"/>
  <c r="H103" i="4"/>
  <c r="H102" i="4"/>
  <c r="H101" i="4"/>
  <c r="H100" i="4"/>
  <c r="H99" i="4"/>
  <c r="H104" i="4"/>
  <c r="H97" i="4"/>
  <c r="H96" i="4"/>
  <c r="H95" i="4"/>
  <c r="H94" i="4"/>
  <c r="H93" i="4"/>
  <c r="H91" i="4"/>
  <c r="H89" i="4"/>
  <c r="H88" i="4"/>
  <c r="H87" i="4"/>
  <c r="H86" i="4"/>
  <c r="H84" i="4"/>
  <c r="H83" i="4"/>
  <c r="H82" i="4"/>
  <c r="H81" i="4"/>
  <c r="H80" i="4"/>
  <c r="H78" i="4"/>
  <c r="H77" i="4"/>
  <c r="H76" i="4"/>
  <c r="H73" i="4"/>
  <c r="H72" i="4"/>
  <c r="H71" i="4"/>
  <c r="H70" i="4"/>
  <c r="H69" i="4"/>
  <c r="H68" i="4"/>
  <c r="H67" i="4"/>
  <c r="H65" i="4"/>
  <c r="H64" i="4"/>
  <c r="H63" i="4"/>
  <c r="H62" i="4"/>
  <c r="H61" i="4"/>
  <c r="H60" i="4"/>
  <c r="H59" i="4"/>
  <c r="H56" i="4"/>
  <c r="H55" i="4"/>
  <c r="H53" i="4"/>
  <c r="H51" i="4"/>
  <c r="H50" i="4"/>
  <c r="H49" i="4"/>
  <c r="H48" i="4"/>
  <c r="H47" i="4"/>
  <c r="H46" i="4"/>
  <c r="H45" i="4"/>
  <c r="H43" i="4"/>
  <c r="H42" i="4"/>
  <c r="H41" i="4"/>
  <c r="H40" i="4"/>
  <c r="H39" i="4"/>
  <c r="H38" i="4"/>
  <c r="H37" i="4"/>
  <c r="H35" i="4"/>
  <c r="H34" i="4"/>
  <c r="H32" i="4"/>
  <c r="H31" i="4"/>
  <c r="H30" i="4"/>
  <c r="H27" i="4"/>
  <c r="H25" i="4"/>
  <c r="H24" i="4"/>
  <c r="H23" i="4"/>
  <c r="H22" i="4"/>
  <c r="H21" i="4"/>
  <c r="H20" i="4"/>
  <c r="H19" i="4"/>
  <c r="H13" i="4"/>
  <c r="H10" i="4"/>
  <c r="H9" i="4"/>
  <c r="H8" i="4"/>
  <c r="H108" i="4" l="1"/>
  <c r="H174" i="4"/>
  <c r="H358" i="4"/>
  <c r="G545" i="4"/>
  <c r="G562" i="4"/>
  <c r="E530" i="4"/>
  <c r="F530" i="4"/>
  <c r="G530" i="4"/>
  <c r="H505" i="4"/>
  <c r="E359" i="4"/>
  <c r="D530" i="4"/>
  <c r="H459" i="4"/>
  <c r="E545" i="4"/>
  <c r="F359" i="4"/>
  <c r="H255" i="4"/>
  <c r="G359" i="4"/>
  <c r="D359" i="4"/>
  <c r="D545" i="4"/>
  <c r="H493" i="4"/>
  <c r="F545" i="4"/>
  <c r="H529" i="4"/>
  <c r="H544" i="4"/>
  <c r="P14" i="2"/>
  <c r="P13" i="2"/>
  <c r="P12" i="2"/>
  <c r="P11" i="2"/>
  <c r="P10" i="2"/>
  <c r="P9" i="2"/>
  <c r="N366" i="1"/>
  <c r="N338" i="1"/>
  <c r="N46" i="1"/>
  <c r="H359" i="4" l="1"/>
  <c r="H530" i="4"/>
  <c r="H545" i="4"/>
  <c r="N334" i="1"/>
  <c r="N573" i="1"/>
  <c r="N484" i="1"/>
  <c r="N481" i="1"/>
  <c r="N294" i="1"/>
  <c r="N292" i="1"/>
  <c r="N288" i="1"/>
  <c r="N285" i="1"/>
  <c r="N284" i="1"/>
  <c r="N283" i="1"/>
  <c r="N122" i="1"/>
  <c r="N104" i="1"/>
  <c r="N365" i="1"/>
  <c r="N370" i="1" l="1"/>
  <c r="N369" i="1"/>
  <c r="N368" i="1"/>
  <c r="N130" i="1"/>
  <c r="N135" i="1"/>
  <c r="N134" i="1"/>
  <c r="N126" i="1"/>
  <c r="N98" i="1"/>
  <c r="N95" i="1"/>
  <c r="N93" i="1"/>
  <c r="N92" i="1"/>
  <c r="N346" i="1"/>
  <c r="N344" i="1"/>
  <c r="N342" i="1"/>
  <c r="N333" i="1"/>
  <c r="N331" i="1"/>
  <c r="N336" i="1"/>
  <c r="N335" i="1"/>
  <c r="N329" i="1"/>
  <c r="N328" i="1"/>
  <c r="N327" i="1"/>
  <c r="N326" i="1"/>
  <c r="N324" i="1"/>
  <c r="N321" i="1"/>
  <c r="N320" i="1"/>
  <c r="N319" i="1"/>
  <c r="N318" i="1"/>
  <c r="N87" i="1"/>
  <c r="N67" i="1"/>
  <c r="N276" i="1"/>
  <c r="N274" i="1"/>
  <c r="N266" i="1"/>
  <c r="N267" i="1"/>
  <c r="N453" i="1"/>
  <c r="N242" i="1"/>
  <c r="N282" i="1"/>
  <c r="N281" i="1"/>
  <c r="N279" i="1"/>
  <c r="N278" i="1"/>
  <c r="N301" i="1"/>
  <c r="N299" i="1"/>
  <c r="N392" i="1"/>
  <c r="N391" i="1"/>
  <c r="N631" i="1" l="1"/>
  <c r="N634" i="1"/>
  <c r="N630" i="1"/>
  <c r="N622" i="1"/>
  <c r="N215" i="1"/>
  <c r="N214" i="1"/>
  <c r="N198" i="1"/>
  <c r="N196" i="1"/>
  <c r="N194" i="1"/>
  <c r="N191" i="1"/>
  <c r="N187" i="1"/>
  <c r="N186" i="1"/>
  <c r="N181" i="1"/>
  <c r="N173" i="1"/>
  <c r="N61" i="1" l="1"/>
  <c r="N59" i="1"/>
  <c r="N58" i="1"/>
  <c r="N34" i="1"/>
  <c r="N21" i="1"/>
  <c r="N457" i="1" l="1"/>
  <c r="N407" i="1" l="1"/>
  <c r="N588" i="1" l="1"/>
  <c r="N575" i="1"/>
  <c r="N556" i="1"/>
  <c r="N555" i="1" l="1"/>
  <c r="N553" i="1"/>
  <c r="N478" i="1"/>
  <c r="N477" i="1"/>
  <c r="N473" i="1"/>
  <c r="N472" i="1"/>
  <c r="N293" i="1"/>
  <c r="N495" i="1"/>
  <c r="N494" i="1"/>
  <c r="N411" i="1"/>
  <c r="N117" i="1"/>
  <c r="N115" i="1"/>
  <c r="N113" i="1"/>
  <c r="N111" i="1"/>
  <c r="N110" i="1"/>
  <c r="N109" i="1"/>
  <c r="N107" i="1"/>
  <c r="N106" i="1"/>
  <c r="N105" i="1"/>
  <c r="N103" i="1"/>
  <c r="N102" i="1"/>
  <c r="N139" i="1"/>
  <c r="N387" i="1"/>
  <c r="N385" i="1"/>
  <c r="N382" i="1"/>
  <c r="N379" i="1"/>
  <c r="N378" i="1" l="1"/>
  <c r="N376" i="1"/>
  <c r="N375" i="1"/>
  <c r="N137" i="1"/>
  <c r="N360" i="1"/>
  <c r="N136" i="1"/>
  <c r="N124" i="1"/>
  <c r="N347" i="1"/>
  <c r="N345" i="1"/>
  <c r="N94" i="1"/>
  <c r="N343" i="1"/>
  <c r="N341" i="1"/>
  <c r="N340" i="1"/>
  <c r="N339" i="1"/>
  <c r="N337" i="1"/>
  <c r="N332" i="1"/>
  <c r="N86" i="1"/>
  <c r="N84" i="1"/>
  <c r="N80" i="1" l="1"/>
  <c r="N75" i="1"/>
  <c r="N73" i="1"/>
  <c r="N69" i="1"/>
  <c r="N66" i="1"/>
  <c r="N275" i="1"/>
  <c r="N273" i="1"/>
  <c r="N271" i="1"/>
  <c r="N270" i="1"/>
  <c r="N269" i="1"/>
  <c r="N268" i="1"/>
  <c r="N250" i="1"/>
  <c r="N249" i="1"/>
  <c r="N248" i="1"/>
  <c r="N247" i="1"/>
  <c r="N246" i="1"/>
  <c r="N240" i="1"/>
  <c r="N243" i="1"/>
  <c r="N305" i="1"/>
  <c r="N300" i="1"/>
  <c r="N430" i="1"/>
  <c r="N222" i="1"/>
  <c r="N217" i="1"/>
  <c r="N208" i="1"/>
  <c r="N207" i="1"/>
  <c r="N206" i="1"/>
  <c r="N200" i="1"/>
  <c r="N199" i="1"/>
  <c r="N165" i="1"/>
  <c r="N182" i="1"/>
  <c r="N63" i="1"/>
  <c r="N55" i="1"/>
  <c r="N53" i="1"/>
  <c r="N51" i="1"/>
  <c r="N49" i="1"/>
  <c r="N47" i="1"/>
  <c r="N44" i="1"/>
  <c r="N43" i="1"/>
  <c r="N25" i="1"/>
  <c r="N36" i="1" l="1"/>
  <c r="N20" i="1"/>
  <c r="N454" i="1" l="1"/>
  <c r="N468" i="1"/>
  <c r="N476" i="1"/>
  <c r="N475" i="1"/>
  <c r="N400" i="1"/>
  <c r="N388" i="1" l="1"/>
  <c r="N384" i="1"/>
  <c r="N380" i="1"/>
  <c r="N374" i="1"/>
  <c r="N371" i="1"/>
  <c r="N362" i="1"/>
  <c r="N90" i="1"/>
  <c r="N88" i="1"/>
  <c r="N82" i="1"/>
  <c r="N79" i="1"/>
  <c r="N265" i="1"/>
  <c r="N264" i="1"/>
  <c r="N438" i="1"/>
  <c r="N245" i="1"/>
  <c r="N244" i="1"/>
  <c r="N241" i="1"/>
  <c r="N311" i="1"/>
  <c r="N306" i="1"/>
  <c r="N225" i="1"/>
  <c r="N180" i="1"/>
  <c r="N62" i="1"/>
  <c r="N60" i="1"/>
  <c r="N29" i="1"/>
  <c r="N28" i="1"/>
  <c r="N26" i="1"/>
  <c r="N24" i="1"/>
  <c r="N23" i="1"/>
  <c r="N11" i="1"/>
  <c r="N10" i="1"/>
  <c r="N9" i="1"/>
  <c r="N22" i="1"/>
  <c r="N445" i="1" l="1"/>
  <c r="N437" i="1"/>
  <c r="N435" i="1"/>
  <c r="N431" i="1"/>
  <c r="N291" i="1" l="1"/>
  <c r="N406" i="1" l="1"/>
  <c r="N513" i="1" l="1"/>
  <c r="N498" i="1"/>
  <c r="N493" i="1"/>
  <c r="N650" i="1"/>
  <c r="N442" i="1"/>
  <c r="R10" i="2" l="1"/>
  <c r="N489" i="1" l="1"/>
  <c r="N414" i="1"/>
  <c r="N516" i="1"/>
  <c r="N515" i="1"/>
  <c r="N514" i="1"/>
  <c r="N505" i="1"/>
  <c r="N504" i="1"/>
  <c r="N449" i="1" l="1"/>
  <c r="N446" i="1"/>
  <c r="N443" i="1"/>
  <c r="N520" i="1"/>
  <c r="N519" i="1"/>
  <c r="N310" i="1" l="1"/>
  <c r="N315" i="1"/>
  <c r="N410" i="1" l="1"/>
  <c r="N409" i="1"/>
  <c r="N314" i="1"/>
  <c r="N499" i="1" l="1"/>
  <c r="R9" i="2" l="1"/>
  <c r="R11" i="2"/>
  <c r="R12" i="2"/>
  <c r="R13" i="2"/>
  <c r="R14" i="2"/>
  <c r="P15" i="2"/>
  <c r="R15" i="2" l="1"/>
  <c r="Q15" i="2"/>
  <c r="N512" i="1" l="1"/>
  <c r="N511" i="1"/>
  <c r="N509" i="1"/>
  <c r="N508" i="1"/>
  <c r="N507" i="1"/>
  <c r="N585" i="1"/>
  <c r="D663" i="1"/>
  <c r="N661" i="1"/>
  <c r="N660" i="1"/>
  <c r="N658" i="1"/>
  <c r="N657" i="1"/>
  <c r="N656" i="1"/>
  <c r="N655" i="1"/>
  <c r="N654" i="1"/>
  <c r="N648" i="1"/>
  <c r="N636" i="1"/>
  <c r="N635" i="1"/>
  <c r="N625" i="1"/>
  <c r="N633" i="1"/>
  <c r="N629" i="1"/>
  <c r="N626" i="1"/>
  <c r="N624" i="1"/>
  <c r="N623" i="1"/>
  <c r="N621" i="1"/>
  <c r="N620" i="1"/>
  <c r="N618" i="1"/>
  <c r="N616" i="1"/>
  <c r="N615" i="1"/>
  <c r="N614" i="1"/>
  <c r="N612" i="1"/>
  <c r="N602" i="1"/>
  <c r="N600" i="1"/>
  <c r="N599" i="1"/>
  <c r="N598" i="1"/>
  <c r="N595" i="1"/>
  <c r="N594" i="1"/>
  <c r="N591" i="1"/>
  <c r="N589" i="1"/>
  <c r="N587" i="1"/>
  <c r="N586" i="1"/>
  <c r="N584" i="1"/>
  <c r="N583" i="1"/>
  <c r="N582" i="1"/>
  <c r="N562" i="1"/>
  <c r="N577" i="1"/>
  <c r="N572" i="1"/>
  <c r="N570" i="1"/>
  <c r="N563" i="1"/>
  <c r="N546" i="1"/>
  <c r="N535" i="1"/>
  <c r="N532" i="1"/>
  <c r="N531" i="1"/>
  <c r="N529" i="1"/>
  <c r="N527" i="1"/>
  <c r="N521" i="1"/>
  <c r="N506" i="1"/>
  <c r="N503" i="1"/>
  <c r="N502" i="1"/>
  <c r="N501" i="1"/>
  <c r="N500" i="1"/>
  <c r="N486" i="1"/>
  <c r="N474" i="1"/>
  <c r="N466" i="1"/>
  <c r="N459" i="1"/>
  <c r="N433" i="1"/>
  <c r="N420" i="1"/>
  <c r="N419" i="1"/>
  <c r="N418" i="1"/>
  <c r="N416" i="1"/>
  <c r="N405" i="1"/>
  <c r="N401" i="1"/>
  <c r="N396" i="1"/>
  <c r="N389" i="1"/>
  <c r="N359" i="1"/>
  <c r="N330" i="1"/>
  <c r="N302" i="1"/>
  <c r="N287" i="1"/>
  <c r="N263" i="1"/>
  <c r="N238" i="1"/>
  <c r="N262" i="1"/>
  <c r="N261" i="1"/>
  <c r="N205" i="1"/>
  <c r="N172" i="1"/>
  <c r="N149" i="1"/>
  <c r="N145" i="1"/>
  <c r="N100" i="1"/>
  <c r="N77" i="1"/>
  <c r="N54" i="1"/>
  <c r="N8" i="1"/>
  <c r="I146" i="1"/>
  <c r="I229" i="1" l="1"/>
  <c r="N229" i="1"/>
  <c r="I421" i="1"/>
  <c r="I536" i="1"/>
  <c r="I662" i="1"/>
  <c r="N662" i="1"/>
  <c r="N536" i="1"/>
  <c r="I637" i="1"/>
  <c r="I603" i="1"/>
  <c r="I592" i="1"/>
  <c r="I316" i="1"/>
  <c r="N421" i="1"/>
  <c r="N603" i="1"/>
  <c r="N592" i="1"/>
  <c r="N316" i="1"/>
  <c r="N146" i="1"/>
  <c r="N637" i="1"/>
  <c r="F638" i="1"/>
  <c r="L638" i="1"/>
  <c r="F422" i="1"/>
  <c r="E638" i="1"/>
  <c r="K638" i="1"/>
  <c r="L422" i="1"/>
  <c r="K663" i="1"/>
  <c r="L663" i="1"/>
  <c r="D422" i="1"/>
  <c r="H638" i="1"/>
  <c r="M638" i="1"/>
  <c r="H663" i="1"/>
  <c r="M663" i="1"/>
  <c r="E663" i="1"/>
  <c r="H422" i="1"/>
  <c r="M422" i="1"/>
  <c r="F663" i="1"/>
  <c r="E422" i="1"/>
  <c r="K422" i="1"/>
  <c r="D638" i="1"/>
  <c r="J638" i="1"/>
  <c r="J663" i="1"/>
  <c r="J422" i="1"/>
  <c r="E665" i="1" l="1"/>
  <c r="I638" i="1"/>
  <c r="I422" i="1"/>
  <c r="I663" i="1"/>
  <c r="N422" i="1"/>
  <c r="N638" i="1"/>
  <c r="N663" i="1"/>
  <c r="D665" i="1"/>
  <c r="F665" i="1"/>
  <c r="H665" i="1"/>
  <c r="J665" i="1"/>
  <c r="K665" i="1"/>
  <c r="L665" i="1"/>
  <c r="M665" i="1"/>
  <c r="N665" i="1" l="1"/>
  <c r="I665" i="1"/>
  <c r="G547" i="4"/>
  <c r="D547" i="4"/>
  <c r="E547" i="4"/>
  <c r="F547" i="4"/>
  <c r="H547" i="4"/>
</calcChain>
</file>

<file path=xl/sharedStrings.xml><?xml version="1.0" encoding="utf-8"?>
<sst xmlns="http://schemas.openxmlformats.org/spreadsheetml/2006/main" count="2522" uniqueCount="1311">
  <si>
    <t xml:space="preserve">LAPORAN STOCK KABEL </t>
  </si>
  <si>
    <t>TIPE KABEL</t>
  </si>
  <si>
    <t>STOCK    AWAL</t>
  </si>
  <si>
    <t>PRODUKSI</t>
  </si>
  <si>
    <t>OEM</t>
  </si>
  <si>
    <t>PENGIRIMAN</t>
  </si>
  <si>
    <t>STOCK    AKHIR</t>
  </si>
  <si>
    <t>Qty</t>
  </si>
  <si>
    <t>MINGGU 1</t>
  </si>
  <si>
    <t>MINGGU 2</t>
  </si>
  <si>
    <t>MINGGU 3</t>
  </si>
  <si>
    <t>MINGGU 4</t>
  </si>
  <si>
    <t>TOTAL</t>
  </si>
  <si>
    <t>(km)</t>
  </si>
  <si>
    <t xml:space="preserve"> BUILDING WIRE</t>
  </si>
  <si>
    <t>TOTAL BUILDING WIRE</t>
  </si>
  <si>
    <t xml:space="preserve"> FLEXIBLE</t>
  </si>
  <si>
    <t>TOTAL FLEXIBLE</t>
  </si>
  <si>
    <t xml:space="preserve"> LOW VOLTAGE SINGLE CORE</t>
  </si>
  <si>
    <t xml:space="preserve">  10 - 630</t>
  </si>
  <si>
    <t xml:space="preserve">  Cu/XLPE/PVC (N2XY)</t>
  </si>
  <si>
    <t xml:space="preserve">  CU/XLPE/LSZH (N2XH)</t>
  </si>
  <si>
    <t>TOTAL SINGLE CORE</t>
  </si>
  <si>
    <t xml:space="preserve"> LOW VOLTAGE MULTI CORE</t>
  </si>
  <si>
    <t xml:space="preserve">  4 x 70</t>
  </si>
  <si>
    <t xml:space="preserve">  4 x 95</t>
  </si>
  <si>
    <t xml:space="preserve">  RE4(O)FR(XLPE/PVC/SWA/PVC)</t>
  </si>
  <si>
    <t xml:space="preserve">  2/4 x 16 - 35</t>
  </si>
  <si>
    <t xml:space="preserve">  Cu/XLPE/LSZH (N2XH)</t>
  </si>
  <si>
    <t xml:space="preserve">  CU/MT/XLPE/LSZH</t>
  </si>
  <si>
    <t xml:space="preserve"> 4 x 50 - 70</t>
  </si>
  <si>
    <t xml:space="preserve">  Cu/XLPE/DSTA/PVC (N2XBY)</t>
  </si>
  <si>
    <t xml:space="preserve"> 4 x 25 mm2</t>
  </si>
  <si>
    <t xml:space="preserve">  CU/XLPE/SWA/LSZH</t>
  </si>
  <si>
    <t xml:space="preserve">  N2XKFGbY</t>
  </si>
  <si>
    <t xml:space="preserve">  N2XRYGbY</t>
  </si>
  <si>
    <t xml:space="preserve">  4 x 10 </t>
  </si>
  <si>
    <t xml:space="preserve">  2 x 16 + 16 </t>
  </si>
  <si>
    <t>TOTAL MULTI CORE</t>
  </si>
  <si>
    <t>TOTAL LOW VOLTAGE</t>
  </si>
  <si>
    <t>STOCK     AWAL</t>
  </si>
  <si>
    <t xml:space="preserve"> INSTRUMENT &amp; CONTROL CABLE</t>
  </si>
  <si>
    <t xml:space="preserve">  NYSY</t>
  </si>
  <si>
    <t>2/3/4/19 x 2.5 - 10</t>
  </si>
  <si>
    <t xml:space="preserve">  N2XSY 12/20 kV</t>
  </si>
  <si>
    <t>4 x 2.5 - 25</t>
  </si>
  <si>
    <t xml:space="preserve">  Cu/PVC/TCCAB/PVC (LiYCY)  rm 300/500 V</t>
  </si>
  <si>
    <t xml:space="preserve"> 3,4 x 1.5</t>
  </si>
  <si>
    <t xml:space="preserve">  3,7 x 2.5-4</t>
  </si>
  <si>
    <t xml:space="preserve">  FS17</t>
  </si>
  <si>
    <t xml:space="preserve">  1 x 35</t>
  </si>
  <si>
    <t xml:space="preserve">  1 x 16</t>
  </si>
  <si>
    <t xml:space="preserve">  RE-2X(St)YRY </t>
  </si>
  <si>
    <t xml:space="preserve">  8 x 2 x 1.5</t>
  </si>
  <si>
    <t xml:space="preserve">  1 x 2 x 1.5</t>
  </si>
  <si>
    <t xml:space="preserve">  2/3/4/7/12/30 x 1.5 - 4</t>
  </si>
  <si>
    <t xml:space="preserve"> Cu/PVC/IS/OS/SWA/PVC </t>
  </si>
  <si>
    <t>4 x 2 x 1.5</t>
  </si>
  <si>
    <t>4 x 3 x 1.5</t>
  </si>
  <si>
    <t xml:space="preserve"> Cu/PVC/OS/SWA/PVC </t>
  </si>
  <si>
    <t>1 x 2 x 1.5</t>
  </si>
  <si>
    <t>1 x 3 x 1.5</t>
  </si>
  <si>
    <t xml:space="preserve"> 10 x 2.5 mm2</t>
  </si>
  <si>
    <t xml:space="preserve"> 3 x 4 mm2</t>
  </si>
  <si>
    <t xml:space="preserve"> 4 x 6 mm2</t>
  </si>
  <si>
    <t xml:space="preserve">  CU/PE/IS/OS/PVC</t>
  </si>
  <si>
    <t xml:space="preserve"> 2 x 2 x 1.5</t>
  </si>
  <si>
    <t xml:space="preserve">  CU/XLPE/PE/LSZH (N2XH)</t>
  </si>
  <si>
    <t xml:space="preserve"> 4 x 10 mm2</t>
  </si>
  <si>
    <t xml:space="preserve">  Cu/XLPE/IS/OS/LSZH </t>
  </si>
  <si>
    <t xml:space="preserve"> 6 x 2 x  1.5 mm2 </t>
  </si>
  <si>
    <t xml:space="preserve"> 10 x 2 x  1.5 mm2 </t>
  </si>
  <si>
    <t xml:space="preserve"> 1 x 2 x 1.5</t>
  </si>
  <si>
    <t>TOTAL INSTRUMENT &amp; CONTROL CABLE</t>
  </si>
  <si>
    <t xml:space="preserve"> MEDIUM VOLTAGE SINGLE &amp; MULTI CORE</t>
  </si>
  <si>
    <t xml:space="preserve">   35 - 300</t>
  </si>
  <si>
    <t xml:space="preserve"> Al/XLPE/CTS/DSTA/PVC (NA2XSY)</t>
  </si>
  <si>
    <t xml:space="preserve">  Cu/XLPE/CTS/SFA/PVC 12/20(24)kV</t>
  </si>
  <si>
    <t xml:space="preserve">   3 x 95</t>
  </si>
  <si>
    <t xml:space="preserve">   3 x 185</t>
  </si>
  <si>
    <t xml:space="preserve">  NA2XSEFGbY  12/20 kV</t>
  </si>
  <si>
    <t xml:space="preserve">   3  x 300</t>
  </si>
  <si>
    <t xml:space="preserve">  NA2XSEBY  12/20 kV</t>
  </si>
  <si>
    <t xml:space="preserve">   3  x 35  </t>
  </si>
  <si>
    <t xml:space="preserve">   3  x 120</t>
  </si>
  <si>
    <t xml:space="preserve">  NFA2XSY-T  12/20 kV</t>
  </si>
  <si>
    <t xml:space="preserve">   3  x 120 + 70</t>
  </si>
  <si>
    <t>TOTAL MV SINGLE &amp; MULTI CORE</t>
  </si>
  <si>
    <t xml:space="preserve"> TWISTED CABLE</t>
  </si>
  <si>
    <t>TOTAL TWISTED</t>
  </si>
  <si>
    <t xml:space="preserve"> AL/ACSR</t>
  </si>
  <si>
    <t xml:space="preserve">     240</t>
  </si>
  <si>
    <t xml:space="preserve">  THAL</t>
  </si>
  <si>
    <t xml:space="preserve">     980</t>
  </si>
  <si>
    <t xml:space="preserve">  10/S1A-7 67.8 </t>
  </si>
  <si>
    <t xml:space="preserve">  10 - 150</t>
  </si>
  <si>
    <t>TOTAL AL/ACSR</t>
  </si>
  <si>
    <t>TOTAL TW AL/ACSR ( Bare )</t>
  </si>
  <si>
    <t xml:space="preserve"> TELEPHONE CABLE</t>
  </si>
  <si>
    <t xml:space="preserve">  U-E(Pe)ES</t>
  </si>
  <si>
    <t xml:space="preserve">  R-V(Pe)V </t>
  </si>
  <si>
    <t xml:space="preserve"> 30 x 2 x 0.6</t>
  </si>
  <si>
    <t xml:space="preserve"> 50 x 2 x 0.6 </t>
  </si>
  <si>
    <t xml:space="preserve">  CU/PE/PVC/SWA/PVC-DATA TWIST ARMOUR  AWG</t>
  </si>
  <si>
    <t xml:space="preserve">  FIBER OPTIC AERIAL SM DA-WG</t>
  </si>
  <si>
    <t>TOTAL TELEPHONE CABLE</t>
  </si>
  <si>
    <t>TOTAL TC, INST &amp; CTRL CABLE</t>
  </si>
  <si>
    <t xml:space="preserve">GRAND TOTAL </t>
  </si>
  <si>
    <t>LAPORAN STOCK KABEL  JADI</t>
  </si>
  <si>
    <t>HISTORY RATA - RATA / BULAN</t>
  </si>
  <si>
    <t>STOCK     AKHIR</t>
  </si>
  <si>
    <t>BW</t>
  </si>
  <si>
    <t>FLEXIBLE</t>
  </si>
  <si>
    <t>LV</t>
  </si>
  <si>
    <t>MV</t>
  </si>
  <si>
    <t>SC</t>
  </si>
  <si>
    <t>BARE</t>
  </si>
  <si>
    <t>GROUP</t>
  </si>
  <si>
    <t>STANDART    STOCK</t>
  </si>
  <si>
    <t>PRODUK</t>
  </si>
  <si>
    <t>Week 1</t>
  </si>
  <si>
    <t>Week 2</t>
  </si>
  <si>
    <t>Week 3</t>
  </si>
  <si>
    <t>Week 4</t>
  </si>
  <si>
    <t xml:space="preserve"> B W</t>
  </si>
  <si>
    <t>L V</t>
  </si>
  <si>
    <t>M V</t>
  </si>
  <si>
    <t>S C</t>
  </si>
  <si>
    <t xml:space="preserve">   3  x 95</t>
  </si>
  <si>
    <t xml:space="preserve">  RE-2Y(St)YRY </t>
  </si>
  <si>
    <t xml:space="preserve">GRUP                PRODUK </t>
  </si>
  <si>
    <t>REALISASI STOK AKHIR PER BULAN</t>
  </si>
  <si>
    <t>/BLN ( KM)</t>
  </si>
  <si>
    <t>JAN</t>
  </si>
  <si>
    <t>FEB</t>
  </si>
  <si>
    <t>MRT</t>
  </si>
  <si>
    <t>APR</t>
  </si>
  <si>
    <t>MEI</t>
  </si>
  <si>
    <t>JUN</t>
  </si>
  <si>
    <t>JUL</t>
  </si>
  <si>
    <t>AGST</t>
  </si>
  <si>
    <t>SEPT</t>
  </si>
  <si>
    <t>OKT</t>
  </si>
  <si>
    <t>NOP</t>
  </si>
  <si>
    <t>DES</t>
  </si>
  <si>
    <t>T O T A L</t>
  </si>
  <si>
    <t>AVERAGE</t>
  </si>
  <si>
    <t xml:space="preserve">% </t>
  </si>
  <si>
    <t xml:space="preserve">Rata -Rata Stok Akhir </t>
  </si>
  <si>
    <t xml:space="preserve">  N2X(St)Y </t>
  </si>
  <si>
    <t xml:space="preserve">  1 x 3 x 1.5</t>
  </si>
  <si>
    <t xml:space="preserve">  Al/PVC/PVC (NAYY)</t>
  </si>
  <si>
    <t xml:space="preserve">  CU/XLPE/OS/SWALSZH</t>
  </si>
  <si>
    <t xml:space="preserve">  Al/XLPE/SFA/PVC (NA2XFGbY)</t>
  </si>
  <si>
    <t xml:space="preserve">  Cu/XLPE/AWA/LSZH (N2XRaH)  rm 0.6/1(1.2)kV</t>
  </si>
  <si>
    <t xml:space="preserve"> 1 x 10</t>
  </si>
  <si>
    <t xml:space="preserve"> 1 x 4</t>
  </si>
  <si>
    <t xml:space="preserve"> 1 x 6</t>
  </si>
  <si>
    <t xml:space="preserve">  1 x 120</t>
  </si>
  <si>
    <t xml:space="preserve">  1 x 150</t>
  </si>
  <si>
    <t xml:space="preserve">  1 x 240</t>
  </si>
  <si>
    <t xml:space="preserve">  1 x 95</t>
  </si>
  <si>
    <t xml:space="preserve">  4  x 185</t>
  </si>
  <si>
    <t xml:space="preserve"> 2 x 10</t>
  </si>
  <si>
    <t xml:space="preserve"> 4 x 4</t>
  </si>
  <si>
    <t xml:space="preserve"> 4 x 120</t>
  </si>
  <si>
    <t xml:space="preserve">  N2XRGbY</t>
  </si>
  <si>
    <t xml:space="preserve">  4 x 150 </t>
  </si>
  <si>
    <t xml:space="preserve">  4  x 70</t>
  </si>
  <si>
    <t xml:space="preserve"> 4 x 25 </t>
  </si>
  <si>
    <t xml:space="preserve"> 4 x 6</t>
  </si>
  <si>
    <t xml:space="preserve"> 1 x 1.5</t>
  </si>
  <si>
    <t xml:space="preserve">  CU/XLPE/AWA/LSZH (N2XRaH)</t>
  </si>
  <si>
    <t xml:space="preserve">  1 x 70</t>
  </si>
  <si>
    <t xml:space="preserve">  1 x 50</t>
  </si>
  <si>
    <t xml:space="preserve"> 4 x 10 </t>
  </si>
  <si>
    <t xml:space="preserve"> 4 x 6 </t>
  </si>
  <si>
    <t xml:space="preserve"> 6 x 6 </t>
  </si>
  <si>
    <t xml:space="preserve">  Cu/XLPE/LS/SFA/PVC (N2XFGbY)</t>
  </si>
  <si>
    <t xml:space="preserve">  3 x 50</t>
  </si>
  <si>
    <t xml:space="preserve"> 4 x 150</t>
  </si>
  <si>
    <t xml:space="preserve"> 4 x 35 </t>
  </si>
  <si>
    <t>FLEX</t>
  </si>
  <si>
    <t>FLX</t>
  </si>
  <si>
    <t xml:space="preserve">BW </t>
  </si>
  <si>
    <t xml:space="preserve"> 60 x 2 x 0.6</t>
  </si>
  <si>
    <t xml:space="preserve"> 4 x 2 x 24</t>
  </si>
  <si>
    <t xml:space="preserve"> 12/12 T</t>
  </si>
  <si>
    <t>11-10011-01</t>
  </si>
  <si>
    <t>11-10011-02</t>
  </si>
  <si>
    <t>11-10011-03</t>
  </si>
  <si>
    <t>11-10011-04</t>
  </si>
  <si>
    <t>KODE</t>
  </si>
  <si>
    <t>DESIGN</t>
  </si>
  <si>
    <t>11-10039-01</t>
  </si>
  <si>
    <t xml:space="preserve">  Cu/PVC (NYA) 1.5 mm2 re 450/750 V</t>
  </si>
  <si>
    <t xml:space="preserve">  Cu/PVC (NYA) 10 mm2 re 450/750 V</t>
  </si>
  <si>
    <t xml:space="preserve">  Cu/PVC (NYA) 2.5 mm2 re 450/750 V</t>
  </si>
  <si>
    <t>11-10012-01</t>
  </si>
  <si>
    <t>11-10012-02</t>
  </si>
  <si>
    <t>11-10012-04</t>
  </si>
  <si>
    <t>11-10012-05</t>
  </si>
  <si>
    <t xml:space="preserve">  Cu/PVC (NYA) 2.5 mm2 rm 450/750 V</t>
  </si>
  <si>
    <t>11-10052-01</t>
  </si>
  <si>
    <t xml:space="preserve">  Cu/PVC/PVC (NYM) 3 x 2.5 mm2 re 300/500 V</t>
  </si>
  <si>
    <t>11-10009-01</t>
  </si>
  <si>
    <t xml:space="preserve">  Cu/PVC/PVC (NYM) 4 x 2.5 mm2 re 300/500 V</t>
  </si>
  <si>
    <t>11-10023-01</t>
  </si>
  <si>
    <t xml:space="preserve">  Cu/PVC/PVC (NYM) 4 x 4 mm2 re 300/500 V</t>
  </si>
  <si>
    <t>11-10036-01</t>
  </si>
  <si>
    <t xml:space="preserve">  NYMHY 2 x 1.5 mm2 f 300/500 V</t>
  </si>
  <si>
    <t>11-10006-01</t>
  </si>
  <si>
    <t xml:space="preserve">  NYMHY 3 x 1.5 mm2 f 300/500 V</t>
  </si>
  <si>
    <t>11-10015-01</t>
  </si>
  <si>
    <t>11-10015-02</t>
  </si>
  <si>
    <t xml:space="preserve">  NYYHY 3 x 0.75 mm2 f 450/750 V</t>
  </si>
  <si>
    <t xml:space="preserve">  NYYHY 8 x 1.5 mm2 f 450/750 V</t>
  </si>
  <si>
    <t>11-10075-01</t>
  </si>
  <si>
    <t xml:space="preserve">  AL/XLPE/PVC (NA2XY) 1 x 300 mm2 rm 0.6/1 (1.2) kV</t>
  </si>
  <si>
    <t>22-20023-02</t>
  </si>
  <si>
    <t xml:space="preserve">  AL/XLPE/PVC (NA2XY) 1 x 70 mm2 rm 0.6/1 (1.2) kV</t>
  </si>
  <si>
    <t>22-20020-03</t>
  </si>
  <si>
    <t xml:space="preserve">  CU/LSZH 1 x 16 mm2 rm 450/750 V</t>
  </si>
  <si>
    <t>21-60002-01</t>
  </si>
  <si>
    <t xml:space="preserve">  CU/LSZH 1 x 25 mm2 rm 450/750 V</t>
  </si>
  <si>
    <t>21-60003-01</t>
  </si>
  <si>
    <t xml:space="preserve">  Cu/PVC (NYA) 185 mm2 rm 450/750 V</t>
  </si>
  <si>
    <t>21-10076-01</t>
  </si>
  <si>
    <t xml:space="preserve">  Cu/PVC (NYA) 240 mm2 rm 450/750 V</t>
  </si>
  <si>
    <t>21-10107-01</t>
  </si>
  <si>
    <t xml:space="preserve">  Cu/PVC (NYA) 25 mm2 rm 450/750 V</t>
  </si>
  <si>
    <t>21-10018-01</t>
  </si>
  <si>
    <t xml:space="preserve">  Cu/PVC (NYA) 50 mm2 rm 450/750 V</t>
  </si>
  <si>
    <t>21-10048-01</t>
  </si>
  <si>
    <t xml:space="preserve">  Cu/PVC/CWS/PVC (NYCY) 2 x 4/4 mm2 rm 0.6/1(1.2) kV</t>
  </si>
  <si>
    <t>21-10307-01</t>
  </si>
  <si>
    <t xml:space="preserve">  Cu/PVC/CWS/PVC (NYCY) 3 x 1.5/1.5 mm2 rm 0.6/1(1.2) kV</t>
  </si>
  <si>
    <t>21-10537-01</t>
  </si>
  <si>
    <t xml:space="preserve">  Cu/PVC/CWS/PVC (NYCY) 4 x 2.5/2.5 mm2 rm 0.6/1(1.2) kV</t>
  </si>
  <si>
    <t>21-10170-01</t>
  </si>
  <si>
    <t>21-10170-02</t>
  </si>
  <si>
    <t xml:space="preserve">  Cu/PVC/CWS/PVC (NYCY) 4 x 4/4 mm2 rm 0.6/1(1.2) kV</t>
  </si>
  <si>
    <t>21-10192-02</t>
  </si>
  <si>
    <t xml:space="preserve">  Cu/PVC/CWS/PVC (NYCY) 7 x 1.5/2.5 mm2 rm 0.6/1(1.2) kV</t>
  </si>
  <si>
    <t>21-10055-01</t>
  </si>
  <si>
    <t xml:space="preserve">  Cu/PVC/CWS/PVC (NYCY) 14 x 2.5/6 mm2 rm 0.6/1(1.2) kV</t>
  </si>
  <si>
    <t>21-10171-01</t>
  </si>
  <si>
    <t xml:space="preserve">  Cu/PVC/DSTA/PVC (NYBY) 16 x 1.5 mm2 re 0.6/1(1.2) kV</t>
  </si>
  <si>
    <t xml:space="preserve">  Cu/PVC/PVC (NYY) 1 x 16 mm2 rm 0.6/1 (1.2)kV</t>
  </si>
  <si>
    <t>21-10106-01</t>
  </si>
  <si>
    <t xml:space="preserve">  Cu/PVC/PVC (NYY) 1 x 25 mm2 rm 0.6/1 (1.2)kV</t>
  </si>
  <si>
    <t>21-10105-01</t>
  </si>
  <si>
    <t xml:space="preserve">  Cu/PVC/PVC (NYY) 1 x 35 mm2 rm 0.6/1 (1.2)kV</t>
  </si>
  <si>
    <t>21-10020-02</t>
  </si>
  <si>
    <t xml:space="preserve">  Cu/PVC/PVC (NYY) 3 x 2.5 mm2 rm 0.6/1(1.2)kV</t>
  </si>
  <si>
    <t xml:space="preserve">  Cu/PVC/PVC (NYY) 2 x 10 mm2 rm 0.6/1(1.2)kV</t>
  </si>
  <si>
    <t>21-10051-01</t>
  </si>
  <si>
    <t xml:space="preserve">  Cu/PVC/PVC (NYY) 4 x 2.5 mm2 rm 0.6/1(1.2)kV</t>
  </si>
  <si>
    <t>21-10042-01</t>
  </si>
  <si>
    <t xml:space="preserve">  Cu/PVC/PVC (NYY) 4 x 4 mm2 rm 0.6/1(1.2)kV</t>
  </si>
  <si>
    <t>21-10043-01</t>
  </si>
  <si>
    <t xml:space="preserve">  Cu/PVC/PVC (NYY) 4 x 25 mm2 rm 0.6/1 (1.2)kV</t>
  </si>
  <si>
    <t>21-10010-01</t>
  </si>
  <si>
    <t>21-10202-02</t>
  </si>
  <si>
    <t xml:space="preserve">  Cu/PVC/SFA/PVC (NYFGbY) 4 x 120 mm2 0.6/1 (1.2) kV</t>
  </si>
  <si>
    <t>21-10097-02</t>
  </si>
  <si>
    <t xml:space="preserve">  Cu/PVC/SFA/PVC (NYFGbY) 4 x 10 mm2 rm 0.6/1(1.2)kV</t>
  </si>
  <si>
    <t>21-10090-09</t>
  </si>
  <si>
    <t xml:space="preserve">  Cu/PVC/SFA/PVC (NYFGbY) 4 x 16 mm2 0.6/1 (1.2) kV</t>
  </si>
  <si>
    <t>21-10021-01</t>
  </si>
  <si>
    <t xml:space="preserve">  Cu/PVC/SFA/PVC (NYFGbY) 4 x 25 mm2 0.6/1 (1.2) kV</t>
  </si>
  <si>
    <t>21-10064-01</t>
  </si>
  <si>
    <t>21-10022-01</t>
  </si>
  <si>
    <t>21-10024-01</t>
  </si>
  <si>
    <t xml:space="preserve">  Cu/PVC/SFA/PVC (NYFGbY) 4 x 95 mm2 0.6/1 (1.2) kV</t>
  </si>
  <si>
    <t xml:space="preserve">  Cu/PVC-f (NYAF) 240 mm2 f 450/750 V</t>
  </si>
  <si>
    <t>21-10112-02</t>
  </si>
  <si>
    <t xml:space="preserve">  Cu/XLPE/CWS/PVC (N2XCY) 2 x 16/2.5 mm2 rm 0.6/1(1.2)kV</t>
  </si>
  <si>
    <t>21-20108-02</t>
  </si>
  <si>
    <t xml:space="preserve">  Cu/XLPE/LSZH (N2XH)  1 x 2.5 mm2 rm 0.6/1(1.2)kV</t>
  </si>
  <si>
    <t>21-20959-02</t>
  </si>
  <si>
    <t xml:space="preserve">  Cu/XLPE/LSZH (N2XH) 1 x 4 mm2 rm 0.6/1(1.2)kV</t>
  </si>
  <si>
    <t>21-20368-01</t>
  </si>
  <si>
    <t xml:space="preserve">  Cu/XLPE/LSZH (N2XH) 2 x 2.5 mm2 rm 0.6/1(1.2)kV</t>
  </si>
  <si>
    <t>21-20633-01</t>
  </si>
  <si>
    <t xml:space="preserve">  Cu/XLPE/LSZH (N2XH)  2 x 4 mm2 rm 0.6/1(1.2)kV</t>
  </si>
  <si>
    <t>21-20149-01</t>
  </si>
  <si>
    <t xml:space="preserve">  Cu/XLPE/LSZH (N2XH) 2 x 6 mm2 rm 0.6/1(1.2)kV</t>
  </si>
  <si>
    <t>21-21369-01</t>
  </si>
  <si>
    <t xml:space="preserve">  Cu/XLPE/LSZH (N2XH) 3 x 2.5 mm2 rm 0.6/1(1.2)kV</t>
  </si>
  <si>
    <t>21-20114-01</t>
  </si>
  <si>
    <t xml:space="preserve">  Cu/XLPE/LSZH (N2XH)  3 x 4 mm2 rm 0.6/1(1.2)kV</t>
  </si>
  <si>
    <t>21-20310-01</t>
  </si>
  <si>
    <t xml:space="preserve">  Cu/XLPE/LSZH (N2XH) 3 x 6 mm2 rm 0.6/1(1.2)kV</t>
  </si>
  <si>
    <t>21-20957-01</t>
  </si>
  <si>
    <t xml:space="preserve">  Cu/XLPE/LSZH (N2XH) 4 x 16 mm2 rm 0.6/1(1.2)kV</t>
  </si>
  <si>
    <t xml:space="preserve"> 21-20100-01</t>
  </si>
  <si>
    <t xml:space="preserve">  Cu/XLPE/LSZH (N2XH) 4 x 2.5 mm2 rm 0.6/1(1.2)kV</t>
  </si>
  <si>
    <t xml:space="preserve">  Cu/XLPE/LSZH (N2XH) 4 x 35 mm2 rm 0.6/1(1.2)kV</t>
  </si>
  <si>
    <t>21-20659-01</t>
  </si>
  <si>
    <t xml:space="preserve">  Cu/XLPE/PVC (N2XY) 1 x 240 mm2 cm 0.6/1 (1.2)kV</t>
  </si>
  <si>
    <t xml:space="preserve">  Cu/XLPE/PVC (N2XY) 1 x 300 mm2 cm 0.6/1 (1.2)kV</t>
  </si>
  <si>
    <t>21-21038-02</t>
  </si>
  <si>
    <t>21-21039-02</t>
  </si>
  <si>
    <t xml:space="preserve">  Cu/XLPE/PVC (N2XY) 4 x 1.5 mm2 re 0.6/1(1.2) kV</t>
  </si>
  <si>
    <t>21-20481-03</t>
  </si>
  <si>
    <t xml:space="preserve">  Cu/XLPE/PVC (N2XY) 4 x 10 mm2 re 0.6/1(1.2) kV</t>
  </si>
  <si>
    <t>21-20136-01</t>
  </si>
  <si>
    <t xml:space="preserve">  Cu/XLPE/PVC (N2XY) 4 x 2.5 mm2 re 0.6/1(1.2) kV</t>
  </si>
  <si>
    <t>21-20030-02</t>
  </si>
  <si>
    <t xml:space="preserve">  N2X2YB2Y 8 x 1.5 mm2 rm 0.6/1 (1.2) kV</t>
  </si>
  <si>
    <t>21-20019-01</t>
  </si>
  <si>
    <t xml:space="preserve">  N2X2YB2Y 16 x 1.5 mm2 rm 0.6/1 (1.2) kV</t>
  </si>
  <si>
    <t>21-20021-01</t>
  </si>
  <si>
    <t xml:space="preserve">  NA2XSEYBY  12/20 kV 3  x 240 mm2 cm/25 12/20 kV</t>
  </si>
  <si>
    <t xml:space="preserve">  Cu/XLPE/CTS/PVC (N2XSY) 1 x 120 mm2 cm 12/20 (24) kV</t>
  </si>
  <si>
    <t xml:space="preserve">  N2XSEFGBY 3 x 95 mm2 cm 8.7/15 (17.5) kV</t>
  </si>
  <si>
    <t xml:space="preserve"> 31-20105-01</t>
  </si>
  <si>
    <t xml:space="preserve">  R-VV 2 x 2 x 0.6 mm</t>
  </si>
  <si>
    <t>61-10001-01</t>
  </si>
  <si>
    <t xml:space="preserve">  T-EJ(Pem) E 1q x 0.9 mm</t>
  </si>
  <si>
    <t>61-30002-01</t>
  </si>
  <si>
    <t xml:space="preserve">  NFA2X 2 x 16 mm2 rm 0.6/1 (1.2)kV</t>
  </si>
  <si>
    <t xml:space="preserve">  72-20002-01</t>
  </si>
  <si>
    <t>11-10021-01</t>
  </si>
  <si>
    <t>11-10034-01</t>
  </si>
  <si>
    <t xml:space="preserve">  Cu/PVC (NYA) 4 mm2 re 450/750 V</t>
  </si>
  <si>
    <t>21-10025-02</t>
  </si>
  <si>
    <t>11-10012-03</t>
  </si>
  <si>
    <t>11-10034-04</t>
  </si>
  <si>
    <t xml:space="preserve">  Cu/PVC (NYA) 6 mm2 re 450/750 V</t>
  </si>
  <si>
    <t>11-10037-01</t>
  </si>
  <si>
    <t xml:space="preserve">  Cu/PVC/PVC (NYM) 2 x 1.5 mm2 re 300/500 V</t>
  </si>
  <si>
    <t>11-10010-01</t>
  </si>
  <si>
    <t xml:space="preserve">  Cu/PVC/PVC (NYM) 2 x 2.5 mm2 re 300/500 V</t>
  </si>
  <si>
    <t>11-10033-01</t>
  </si>
  <si>
    <t xml:space="preserve">  Cu/PVC/PVC (NYM) 3 x 1.5 mm2 re 300/500 V</t>
  </si>
  <si>
    <t>11-10024-01</t>
  </si>
  <si>
    <t>11-10009-02</t>
  </si>
  <si>
    <t xml:space="preserve">  Cu/PVC/PVC (NYM) 3 x 4 mm2 re 300/500 V</t>
  </si>
  <si>
    <t>11-10022-01</t>
  </si>
  <si>
    <t>11-10036-02</t>
  </si>
  <si>
    <t xml:space="preserve">  NYMHY 3 x 2.5 mm2 f 300/500 V</t>
  </si>
  <si>
    <t>11-10025-01</t>
  </si>
  <si>
    <t xml:space="preserve">  Cu/PVC-f (NYAF) 1.5 mm2 f450/750 V</t>
  </si>
  <si>
    <t>11-10043-04</t>
  </si>
  <si>
    <t xml:space="preserve">  Cu/PVC-f (NYAF) 6 mm2 f450/750 V</t>
  </si>
  <si>
    <t xml:space="preserve">  NYYHY 2 x 2.5 mm2 f 450/750 V</t>
  </si>
  <si>
    <t>11-10042-02</t>
  </si>
  <si>
    <t>11-10042-01</t>
  </si>
  <si>
    <t xml:space="preserve">  NYYHY 3 x 2.5 mm2 f 450/750 V</t>
  </si>
  <si>
    <t>11-10030-01</t>
  </si>
  <si>
    <t>11-10030-02</t>
  </si>
  <si>
    <t xml:space="preserve">  NYYHY 3 x 4 mm2 f 450/750 V</t>
  </si>
  <si>
    <t xml:space="preserve">  NYYHY 4 x 2.5 mm2 f 450/750 V</t>
  </si>
  <si>
    <t>11-10016-01</t>
  </si>
  <si>
    <t xml:space="preserve">  NYYHY 5 x 1.5 mm2 f 450/750 V</t>
  </si>
  <si>
    <t>11-10139-01</t>
  </si>
  <si>
    <t>YSLY-JZ 4 1.5mm2 f 300/500 V</t>
  </si>
  <si>
    <t>11-10247-01</t>
  </si>
  <si>
    <t xml:space="preserve">  AL/XLPE/PVC (NA2XY) 1 x 185 mm2 rm 0.6/1 (1.2) kV</t>
  </si>
  <si>
    <t>22-20121-01</t>
  </si>
  <si>
    <t xml:space="preserve">  AL/XLPE/PVC (NA2XY) 1 x 95 mm2 rm 0.6/1 (1.2) kV</t>
  </si>
  <si>
    <t>22-20021-02</t>
  </si>
  <si>
    <t xml:space="preserve">  Cu/PVC (NYA) 150 mm2 rm 450/750 V</t>
  </si>
  <si>
    <t>21-10075-01</t>
  </si>
  <si>
    <t>21-10017-01</t>
  </si>
  <si>
    <t xml:space="preserve">  Cu/PVC (NYA) 16 mm2 rm 450/750 V</t>
  </si>
  <si>
    <t xml:space="preserve">  Cu/PVC (NYA) 300 mm2 rm 450/750 V</t>
  </si>
  <si>
    <t>21-10108-01</t>
  </si>
  <si>
    <t xml:space="preserve">  Cu/PVC (NYA) 35 mm2 rm 450/750 V</t>
  </si>
  <si>
    <t>21-10019-01</t>
  </si>
  <si>
    <t xml:space="preserve">  Cu/PVC (NYA) 70 mm2 rm 450/750 V</t>
  </si>
  <si>
    <t>21-10030-06</t>
  </si>
  <si>
    <t>21-10030-01</t>
  </si>
  <si>
    <t xml:space="preserve">  Cu/PVC (NYA) 95 mm2 rm 450/750 V</t>
  </si>
  <si>
    <t>21-10059-01</t>
  </si>
  <si>
    <t xml:space="preserve">  Cu/PVC/DSTA/PVC (NYBY) 12 x 1.5 mm2 re 0.6/1(1.2) kV</t>
  </si>
  <si>
    <t>21-10865-01</t>
  </si>
  <si>
    <t xml:space="preserve">  Cu/PVC/PVC (NYY) 1 x 150 mm2 rm 0.6/1 (1.2)kV</t>
  </si>
  <si>
    <t>21-10005-03</t>
  </si>
  <si>
    <t xml:space="preserve">  Cu/PVC/PVC (NYY) 1 x 185 mm2 rm 0.6/1 (1.2)kV</t>
  </si>
  <si>
    <t>21-10006-02</t>
  </si>
  <si>
    <t xml:space="preserve">  Cu/PVC/PVC (NYY) 1 x 240 mm2 rm 0.6/1 (1.2)kV</t>
  </si>
  <si>
    <t>21-10007-02</t>
  </si>
  <si>
    <t xml:space="preserve">  Cu/PVC/PVC (NYY) 1 x 300 mm2 rm 0.6/1 (1.2)kV</t>
  </si>
  <si>
    <t>21-10031-02</t>
  </si>
  <si>
    <t xml:space="preserve">  Cu/PVC/PVC (NYY) 1 x 400 mm2 rm 0.6/1 (1.2)kV</t>
  </si>
  <si>
    <t>21-10008-02</t>
  </si>
  <si>
    <t xml:space="preserve">  Cu/PVC/PVC (NYY) 1 x 70 mm2 rm 0.6/1 (1.2)kV</t>
  </si>
  <si>
    <t>21-10001-03</t>
  </si>
  <si>
    <t xml:space="preserve">  Cu/PVC/PVC (NYY) 14 x 1.5 mm2 rm 0.6/1(1.2)kV</t>
  </si>
  <si>
    <t xml:space="preserve">  Cu/PVC/PVC (NYY) 2 x 2.5 mm2 rm 0.6/1(1.2)kV</t>
  </si>
  <si>
    <t>21-10643-01</t>
  </si>
  <si>
    <t>21-10123-01</t>
  </si>
  <si>
    <t xml:space="preserve">  Cu/PVC/PVC (NYY) 3 x 1.5 mm2 rm 0.6/1(1.2)kV</t>
  </si>
  <si>
    <t>21-10126-01</t>
  </si>
  <si>
    <t xml:space="preserve">  Cu/PVC/PVC (NYY) 3 x 10 mm2 rm 0.6/1(1.2)kV</t>
  </si>
  <si>
    <t>21-10127-01</t>
  </si>
  <si>
    <t xml:space="preserve">  Cu/PVC/PVC (NYY) 3 x 2.5 mm2 re 0.6/1(1.2)kV</t>
  </si>
  <si>
    <t>21-10041-01</t>
  </si>
  <si>
    <t>21-10069-01</t>
  </si>
  <si>
    <t xml:space="preserve">  Cu/PVC/PVC (NYY) 3 x 4 mm2 re 0.6/1(1.2)kV</t>
  </si>
  <si>
    <t xml:space="preserve">  Cu/PVC/PVC (NYY) 3 x 6 mm2 re 0.6/1(1.2)kV</t>
  </si>
  <si>
    <t xml:space="preserve">  Cu/PVC/PVC (NYY) 4 x 10 mm2 re 0.6/1(1.2)kV</t>
  </si>
  <si>
    <t xml:space="preserve">  Cu/PVC/PVC (NYY) 4 x 16 mm2 rm 0.6/1 (1.2)kV</t>
  </si>
  <si>
    <t>21-10009-01</t>
  </si>
  <si>
    <t xml:space="preserve">  Cu/PVC/PVC (NYY) 4 x 185 mm2 rm 0.6/1 (1.2)kV</t>
  </si>
  <si>
    <t>21-10125-01</t>
  </si>
  <si>
    <t xml:space="preserve">  Cu/PVC/PVC (NYY) 4 x 240 mm2 rm 0.6/1 (1.2)kV</t>
  </si>
  <si>
    <t>21-10066-01</t>
  </si>
  <si>
    <t>21-10124-01</t>
  </si>
  <si>
    <t xml:space="preserve">  Cu/PVC/PVC (NYY) 4 x 300 mm2 sm 0.6/1 (1.2)kV</t>
  </si>
  <si>
    <t xml:space="preserve">  Cu/PVC/PVC (NYY) 4 x 35 mm2 rm 0.6/1 (1.2)kV</t>
  </si>
  <si>
    <t>21-10011-01</t>
  </si>
  <si>
    <t>21-10012-01</t>
  </si>
  <si>
    <t xml:space="preserve">  Cu/PVC/PVC (NYY) 4 x 6 mm2 re 0.6/1(1.2)kV</t>
  </si>
  <si>
    <t>21-10044-01</t>
  </si>
  <si>
    <t xml:space="preserve">  Cu/PVC/PVC (NYY) 4 x 50 mm2 sm 0.6/1 (1.2)kV</t>
  </si>
  <si>
    <t xml:space="preserve">  Cu/PVC/PVC (NYY) 4 x 70 mm2 sm 0.6/1 (1.2)kV</t>
  </si>
  <si>
    <t>21-10013-01</t>
  </si>
  <si>
    <t xml:space="preserve">  Cu/PVC/PVC (NYY) 4 x 95 mm2 sm 0.6/1 (1.2)kV</t>
  </si>
  <si>
    <t>21-10014-01</t>
  </si>
  <si>
    <t xml:space="preserve">  Cu/PVC/SFA/PVC (NYFGbY) 12 x 1.5 mm2 rm 0.6/1(1.2)kV</t>
  </si>
  <si>
    <t xml:space="preserve">  Cu/PVC/SFA/PVC (NYFGbY) 2 x 10 mm2 re 0.6/1(1.2)kV</t>
  </si>
  <si>
    <t>21-10027-01</t>
  </si>
  <si>
    <t>21-10552-02</t>
  </si>
  <si>
    <t>21-10081-04</t>
  </si>
  <si>
    <t xml:space="preserve">  Cu/PVC/SFA/PVC (NYFGbY) 3 x 50 mm2 sm 0.6/1 (1.2) kV</t>
  </si>
  <si>
    <t xml:space="preserve">  Cu/PVC/SFA/PVC (NYFGbY) 2 x 16 mm2 rm 0.6/1 (1.2) kV</t>
  </si>
  <si>
    <t xml:space="preserve">  Cu/PVC/SFA/PVC (NYFGbY) 4 x 10 mm2 re 0.6/1(1.2)kV</t>
  </si>
  <si>
    <t>21-10058-01</t>
  </si>
  <si>
    <t>21-10026-01</t>
  </si>
  <si>
    <t xml:space="preserve">  Cu/PVC/SFA/PVC (NYFGbY) 4 x 185 mm2 sm 0.6/1 (1.2) kV</t>
  </si>
  <si>
    <t xml:space="preserve">  Cu/PVC/SFA/PVC (NYFGbY) 4 x 240 mm2 sm 0.6/1 (1.2) kV</t>
  </si>
  <si>
    <t>21-10028-01</t>
  </si>
  <si>
    <t>21-10028-04</t>
  </si>
  <si>
    <t xml:space="preserve">  Cu/PVC/SFA/PVC (NYFGbY) 4 x 300 mm2 sm 0.6/1 (1.2) kV</t>
  </si>
  <si>
    <t>21-10029-01</t>
  </si>
  <si>
    <t>21-10023-01</t>
  </si>
  <si>
    <t xml:space="preserve">  Cu/PVC/SFA/PVC (NYFGbY) 4 x 35 mm2 rm 0.6/1 (1.2) kV</t>
  </si>
  <si>
    <t xml:space="preserve">  Cu/PVC/SFA/PVC (NYFGbY) 4 x 50 mm2 sm 0.6/1 (1.2) kV</t>
  </si>
  <si>
    <t xml:space="preserve">  Cu/PVC/SFA/PVC (NYFGbY) 4 x 70 mm2 sm 0.6/1 (1.2) kV</t>
  </si>
  <si>
    <t>21-10024-02</t>
  </si>
  <si>
    <t>21-10025-06</t>
  </si>
  <si>
    <t xml:space="preserve">  Cu/PVC/SFA/PVC (NYFGbY) 8 x 1.5 mm2 rm 0.6/1(1.2)kV</t>
  </si>
  <si>
    <t>21-10225-01</t>
  </si>
  <si>
    <t xml:space="preserve">  Cu/PVC/SWA/PVC (NYRGbY) 2 x 1.5 mm2 re 0.6/1 (1.2)kV</t>
  </si>
  <si>
    <t>21-10150-02</t>
  </si>
  <si>
    <t xml:space="preserve">  Cu/PVC/SWA/PVC (NYRGbY) 2 x 10 mm2 re 0.6/1 (1.2)kV</t>
  </si>
  <si>
    <t>21-10156-01</t>
  </si>
  <si>
    <t xml:space="preserve">  Cu/PVC/SWA/PVC (NYRGbY) 2 x 6 mm2 re 0.6/1 (1.2)kV</t>
  </si>
  <si>
    <t>21-10061-01</t>
  </si>
  <si>
    <t xml:space="preserve">  Cu/PVC/SWA/PVC (NYRGbY) 3 x 1.5 mm2 re 0.6/1 (1.2)kV</t>
  </si>
  <si>
    <t>21-10136-01</t>
  </si>
  <si>
    <t xml:space="preserve">  Cu/PVC/SWA/PVC (NYRGbY) 3 x 10 mm2 re 0.6/1 (1.2)kV</t>
  </si>
  <si>
    <t>21-10037-01</t>
  </si>
  <si>
    <t xml:space="preserve">  Cu/PVC/SWA/PVC (NYRGbY) 3 x 2.5 mm2 re 0.6/1 (1.2)kV</t>
  </si>
  <si>
    <t>21-10036-01</t>
  </si>
  <si>
    <t xml:space="preserve">  Cu/PVC/SWA/PVC (NYRGbY) 3 x 4 mm2 re 0.6/1 (1.2)kV</t>
  </si>
  <si>
    <t>21-10102-01</t>
  </si>
  <si>
    <t xml:space="preserve">  Cu/PVC/SWA/PVC (NYRGbY) 3 x 6 mm2 re 0.6/1 (1.2)kV</t>
  </si>
  <si>
    <t>21-10060-01</t>
  </si>
  <si>
    <t xml:space="preserve">  Cu/PVC/SWA/PVC (NYRGbY) 4 x 10 mm2 re 0.6/1 (1.2)kV</t>
  </si>
  <si>
    <t>21-10109-01</t>
  </si>
  <si>
    <t xml:space="preserve">  Cu/PVC/SWA/PVC (NYRGbY) 4 x 2.5 mm2 re 0.6/1 (1.2)kV</t>
  </si>
  <si>
    <t>21-10035-01</t>
  </si>
  <si>
    <t xml:space="preserve">  Cu/PVC/SWA/PVC (NYRGbY) 4 x 4 mm2 re 0.6/1 (1.2)kV</t>
  </si>
  <si>
    <t>21-10063-01</t>
  </si>
  <si>
    <t xml:space="preserve">  Cu/PVC/SWA/PVC (NYRGbY) 4 x 6 mm2 re 0.6/1 (1.2)kV</t>
  </si>
  <si>
    <t>21-10077-01</t>
  </si>
  <si>
    <t xml:space="preserve">  Cu/XLPE/CTS/PVC (N2XSY) 4 X 25mm2 rm 0.6/1 (1.2)kV</t>
  </si>
  <si>
    <t>21-20277-02</t>
  </si>
  <si>
    <t xml:space="preserve">  CU/XLPE/LSZH (N2XH) 1 x 300 mm2 rm 0.6/1 (1.2)kV</t>
  </si>
  <si>
    <t>21-20195-01</t>
  </si>
  <si>
    <t xml:space="preserve">  Cu/XLPE/PVC (N2XY) 1 x 1.5 mm2 rm 0.6/1(1.2) kV</t>
  </si>
  <si>
    <t>21-21212-01</t>
  </si>
  <si>
    <t xml:space="preserve">  Cu/XLPE/PVC (N2XY) 1 x 10 mm2 rm 0.6/1(1.2) kV</t>
  </si>
  <si>
    <t>21-20482-01</t>
  </si>
  <si>
    <t xml:space="preserve">  Cu/XLPE/PVC (N2XY) 1 x 4 mm2 rm 0.6/1(1.2) kV</t>
  </si>
  <si>
    <t>21-21456-01</t>
  </si>
  <si>
    <t xml:space="preserve">  Cu/XLPE/PVC (N2XY) 1 x 70 mm2 cm 0.6/1 (1.2)kV</t>
  </si>
  <si>
    <t>21-21033-02</t>
  </si>
  <si>
    <t xml:space="preserve">  Cu/XLPE/PVC (N2XY) 2 x 6 mm2 re 0.6/1(1.2) kV</t>
  </si>
  <si>
    <t>21-21458-01</t>
  </si>
  <si>
    <t xml:space="preserve">  Cu/XLPE/PVC (N2XY) 3 x 2.5 mm2 re 0.6/1(1.2) kV</t>
  </si>
  <si>
    <t>21-20758-03</t>
  </si>
  <si>
    <t xml:space="preserve">  Cu/XLPE/PVC (N2XY) 4 x 6 mm2 re 0.6/1(1.2) kV</t>
  </si>
  <si>
    <t>21-21459-01</t>
  </si>
  <si>
    <t xml:space="preserve">  Cu/XLPE/PVC (N2XY) 5 x 10 mm2 re 0.6/1(1.2) kV</t>
  </si>
  <si>
    <t>21-20444-05</t>
  </si>
  <si>
    <t xml:space="preserve">  NA2XSEBY  12/20 kV 3 x 300 mm2 cm 12/20 (24) kV</t>
  </si>
  <si>
    <t>32-20055-02</t>
  </si>
  <si>
    <t xml:space="preserve">  N2XSEBH 3 x 240 mm2 cm  12/20 kV (24) kV</t>
  </si>
  <si>
    <t xml:space="preserve">  N2XSH 1 x 240 mm2 cm 12/20 (24) kV</t>
  </si>
  <si>
    <t xml:space="preserve">  Cu/XLPE/CTS/PVC (N2XSY) 1 x 150 mm2 cm 12/20 (24) kV</t>
  </si>
  <si>
    <t>31-20044-01</t>
  </si>
  <si>
    <t xml:space="preserve">  Cu/XLPE/CTS/PVC (N2XSY) 1 x 240 mm2 cm 12/20 (24) kV</t>
  </si>
  <si>
    <t>31-20172-01</t>
  </si>
  <si>
    <t xml:space="preserve">  Cu/XLPE/CTS/PVC (N2XSY) 1 x 300 mm2 cm 12/20 (24) kV</t>
  </si>
  <si>
    <t xml:space="preserve">  N2XSERGBY 3 x 150 mm2 cm 12/20 (24) kV</t>
  </si>
  <si>
    <t xml:space="preserve">  32-20005-01</t>
  </si>
  <si>
    <t xml:space="preserve">  32-20005-03</t>
  </si>
  <si>
    <t xml:space="preserve">  NA2XSEYBY 3 x 300 mm2 cm/25 12/20 (24) kV</t>
  </si>
  <si>
    <t xml:space="preserve">  32-20006-04</t>
  </si>
  <si>
    <t xml:space="preserve">  NFA2X 2 x 10 mm2 rm 0.6/1 (1.2)kV</t>
  </si>
  <si>
    <t xml:space="preserve">  NFA2X 4 x 35 mm2 rm 0.6/1 (1.2)kV</t>
  </si>
  <si>
    <t xml:space="preserve">  NFA2X 4 x 16 mm2 rm 0.6/1 (1.2)kV</t>
  </si>
  <si>
    <t xml:space="preserve">   72-20012-01</t>
  </si>
  <si>
    <t>21-10045-01</t>
  </si>
  <si>
    <t>31-20112-01</t>
  </si>
  <si>
    <t xml:space="preserve">  Cu/XLPE/PVC (N2XY) 4 x 35 mm2 cm 0.6/1 (1.2)kV</t>
  </si>
  <si>
    <t>21-10787-01</t>
  </si>
  <si>
    <t>21-10139-01</t>
  </si>
  <si>
    <t xml:space="preserve">  BCC Soft 6 mm2 re</t>
  </si>
  <si>
    <t>41-00006-01</t>
  </si>
  <si>
    <t>GROUP PRODUK</t>
  </si>
  <si>
    <t>DR PRODUKSI</t>
  </si>
  <si>
    <t xml:space="preserve">TOTAL </t>
  </si>
  <si>
    <t>KAPASITAS GUDANG, BERDASARKAN STOK BARANG JADI</t>
  </si>
  <si>
    <t>KAPASITAS</t>
  </si>
  <si>
    <t xml:space="preserve">  AAAC 70 mm2</t>
  </si>
  <si>
    <t>42-20008-01</t>
  </si>
  <si>
    <t xml:space="preserve">  AAAC 150 mm2</t>
  </si>
  <si>
    <t>42-20009-01</t>
  </si>
  <si>
    <t xml:space="preserve">  AAAC-S 50 mm2</t>
  </si>
  <si>
    <t xml:space="preserve">  AAAC-S 70 mm2</t>
  </si>
  <si>
    <t>42-20002-01</t>
  </si>
  <si>
    <t xml:space="preserve">  AAAC-S 150 mm2</t>
  </si>
  <si>
    <t>42-20001-01</t>
  </si>
  <si>
    <t xml:space="preserve">  AAAC-S 240 mm2</t>
  </si>
  <si>
    <t xml:space="preserve">  ACCC/TW  LISBON 310 mm2 tw</t>
  </si>
  <si>
    <t>42-00001-02</t>
  </si>
  <si>
    <t xml:space="preserve">  ACCC/TW   AMSTERDAM 360 mm2 tw</t>
  </si>
  <si>
    <t>42-00004-01</t>
  </si>
  <si>
    <t xml:space="preserve">  GSW 35 mm2 rm</t>
  </si>
  <si>
    <t>45-00005-01</t>
  </si>
  <si>
    <t xml:space="preserve">  ACCC/TW  BRUSSELS 420 mm2 tw </t>
  </si>
  <si>
    <t>42-00016-01</t>
  </si>
  <si>
    <t xml:space="preserve">  ACSR/AS (A1/SA 1A) 250 mm2 rm</t>
  </si>
  <si>
    <t>42-00002-01</t>
  </si>
  <si>
    <t xml:space="preserve">  ACSR/AS (A1/SA 1A) 450 mm2 rm</t>
  </si>
  <si>
    <t>11-10039-12</t>
  </si>
  <si>
    <t>11-10034-02</t>
  </si>
  <si>
    <t xml:space="preserve">  Cu/PVC/PVC (NYM) 3 x 6 mm2 re 300/500 V</t>
  </si>
  <si>
    <t>11-10038-02</t>
  </si>
  <si>
    <t xml:space="preserve">  Cu/PVC/PVC (NYM) 4 x 1.5 mm2 re 300/500 V</t>
  </si>
  <si>
    <t>11-10032-02</t>
  </si>
  <si>
    <t>11-10032-01</t>
  </si>
  <si>
    <t>11-10023-04</t>
  </si>
  <si>
    <t>11-10006-04</t>
  </si>
  <si>
    <t>11-10015-04</t>
  </si>
  <si>
    <t xml:space="preserve">  NYMHY 4 x 1.5 mm2 f 300/500 V</t>
  </si>
  <si>
    <t>11-10027-01</t>
  </si>
  <si>
    <t>11-10027-04</t>
  </si>
  <si>
    <t xml:space="preserve">  NYYHY 16 x 1.5 mm2 f 450/750 V</t>
  </si>
  <si>
    <t>11-10067-03</t>
  </si>
  <si>
    <t xml:space="preserve">  NYYHY 2 x 1.5 mm2 f 450/750 V</t>
  </si>
  <si>
    <t>11-10017-01</t>
  </si>
  <si>
    <t xml:space="preserve">  NYYHY 3 x 1.5 mm2 f 450/750 V</t>
  </si>
  <si>
    <t>11-10013-04</t>
  </si>
  <si>
    <t>11-10013-01</t>
  </si>
  <si>
    <t xml:space="preserve">  NYYHY 4 x 1.5 mm2 f 450/750 V</t>
  </si>
  <si>
    <t>11-10035-01</t>
  </si>
  <si>
    <t>11-10035-04</t>
  </si>
  <si>
    <t xml:space="preserve">  ACCC/TW  COPENHAGEN 220 mm2 tw</t>
  </si>
  <si>
    <t>42-00019-01</t>
  </si>
  <si>
    <t xml:space="preserve">  BCC HD 240 mm2 re</t>
  </si>
  <si>
    <t>41-00032-01</t>
  </si>
  <si>
    <t xml:space="preserve">  BCC HD 300 mm2 re</t>
  </si>
  <si>
    <t>41-00019-01</t>
  </si>
  <si>
    <t xml:space="preserve">  BCC HD 10 mm2 re</t>
  </si>
  <si>
    <t>41-00010-01</t>
  </si>
  <si>
    <t xml:space="preserve">  Al/PVC/SFA/PVC (NAYFGbY) 4 x 10 mm2 rm 0.6/1 (1.2) kV</t>
  </si>
  <si>
    <t>22-10054-01</t>
  </si>
  <si>
    <t xml:space="preserve">  Al/PVC/SFA/PVC (NAYFGbY) 4 x 25 mm2 rm 0.6/1 (1.2) kV</t>
  </si>
  <si>
    <t>22-10050-02</t>
  </si>
  <si>
    <t xml:space="preserve">  Al/PVC/SFA/PVC (NAYFGbY) 4 x 35 mm2 rm 0.6/1 (1.2) kV</t>
  </si>
  <si>
    <t>22-10061-02</t>
  </si>
  <si>
    <t xml:space="preserve">  AL/XLPE/PVC (NA2XY) 1 x 150 mm2 rm 0.6/1 (1.2) kV</t>
  </si>
  <si>
    <t>22-20120-01</t>
  </si>
  <si>
    <t xml:space="preserve">  AL/XLPE/PVC (NA2XY) 1 x 240 mm2 rm 0.6/1 (1.2) kV</t>
  </si>
  <si>
    <t>22-20006-02</t>
  </si>
  <si>
    <t xml:space="preserve">  Cu/MT/XLPE/PVC (N2XY-FE) 1 x 120 mm2 cm 0.6/1 (1.2)kV</t>
  </si>
  <si>
    <t xml:space="preserve">  Cu/MT/XLPE/PVC (N2XY-FE) 1 x 240 mm2 cm 0.6/1 (1.2)kV</t>
  </si>
  <si>
    <t>21-20036-01</t>
  </si>
  <si>
    <t>21-20314-01</t>
  </si>
  <si>
    <t xml:space="preserve">  Cu/MT/XLPE/PVC (N2XY-FE) 1 x 25 mm2 cm 0.6/1 (1.2)kV</t>
  </si>
  <si>
    <t>21-20034-01</t>
  </si>
  <si>
    <t xml:space="preserve">  Cu/MT/XLPE/PVC (N2XY-FE) 1 x 35 mm2 cm 0.6/1 (1.2)kV</t>
  </si>
  <si>
    <t>21-20198-01</t>
  </si>
  <si>
    <t xml:space="preserve">  Cu/PVC (NYA) 120 mm2 rm 450/750 V</t>
  </si>
  <si>
    <t>21-10070-01</t>
  </si>
  <si>
    <t xml:space="preserve">  Cu/PVC/DSTA/PVC (NYBY) 4 x 2.5 mm2 re 0.6/1(1.2) kV</t>
  </si>
  <si>
    <t>21-10439-01</t>
  </si>
  <si>
    <t xml:space="preserve">  Cu/PVC/PVC (NYY) 1 x 120 mm2 rm 0.6/1 (1.2)kV</t>
  </si>
  <si>
    <t>21-10004-03</t>
  </si>
  <si>
    <t xml:space="preserve">  Cu/PVC/PVC (NYY) 1 x 50 mm2 rm 0.6/1 (1.2)kV</t>
  </si>
  <si>
    <t>21-10087-02</t>
  </si>
  <si>
    <t xml:space="preserve">  Cu/PVC/PVC (NYY) 1 x 500 mm2 rm 0.6/1 (1.2)kV</t>
  </si>
  <si>
    <t>21-10065-02</t>
  </si>
  <si>
    <t xml:space="preserve">  Cu/PVC/PVC (NYY) 1 x 95 mm2 rm 0.6/1 (1.2)kV</t>
  </si>
  <si>
    <t>21-10003-03</t>
  </si>
  <si>
    <t xml:space="preserve">  Cu/PVC/PVC (NYY) 2 x 1.5 mm2 rm 0.6/1(1.2)kV</t>
  </si>
  <si>
    <t>21-10131-01</t>
  </si>
  <si>
    <t xml:space="preserve">  Cu/PVC/PVC (NYY) 4 x 1.5 mm2 rm 0.6/1(1.2)kV</t>
  </si>
  <si>
    <t>21-10135-01</t>
  </si>
  <si>
    <t xml:space="preserve">  Cu/PVC/PVC (NYY) 3 x 120 mm2 rm 0.6/1 (1.2)kV</t>
  </si>
  <si>
    <t>21-10172-05</t>
  </si>
  <si>
    <t xml:space="preserve">  Cu/PVC/PVC (NYY) 3 x 150 mm2 rm 0.6/1 (1.2)kV</t>
  </si>
  <si>
    <t>21-10323-03</t>
  </si>
  <si>
    <t xml:space="preserve">  Cu/PVC/PVC (NYY) 3 x 185 mm2 rm 0.6/1 (1.2)kV</t>
  </si>
  <si>
    <t>21-10173-03</t>
  </si>
  <si>
    <t xml:space="preserve">  Cu/PVC/PVC (NYY) 3 x 240 mm2 rm 0.6/1 (1.2)kV</t>
  </si>
  <si>
    <t>21-10217-05</t>
  </si>
  <si>
    <t xml:space="preserve">  Cu/PVC/PVC (NYY) 3 x 25 mm2 rm 0.6/1 (1.2)kV</t>
  </si>
  <si>
    <t xml:space="preserve">  Cu/PVC/PVC (NYY) 3 x 50 mm2 rm 0.6/1 (1.2)kV</t>
  </si>
  <si>
    <t xml:space="preserve">  Cu/PVC/PVC (NYY) 3 x 70 mm2 rm 0.6/1 (1.2)kV</t>
  </si>
  <si>
    <t>21-10191-06</t>
  </si>
  <si>
    <t>21-10191-02</t>
  </si>
  <si>
    <t xml:space="preserve">  Cu/PVC/PVC (NYY) 3 x 95 mm2 rm 0.6/1 (1.2)kV</t>
  </si>
  <si>
    <t>21-10218-06</t>
  </si>
  <si>
    <t xml:space="preserve">  Cu/PVC/PVC (NYY) 4 x 120 mm2 rm 0.6/1 (1.2)kV</t>
  </si>
  <si>
    <t>21-10071-10</t>
  </si>
  <si>
    <t xml:space="preserve">  Cu/PVC/PVC (NYY) 4 x 150 mm2 rm 0.6/1 (1.2)kV</t>
  </si>
  <si>
    <t>21-10015-01</t>
  </si>
  <si>
    <t>21-10009-11</t>
  </si>
  <si>
    <t>21-10066-08</t>
  </si>
  <si>
    <t>21-10010-11</t>
  </si>
  <si>
    <t>21-10011-11</t>
  </si>
  <si>
    <t>21-10013-13</t>
  </si>
  <si>
    <t>21-10014-12</t>
  </si>
  <si>
    <t>21-10043-12</t>
  </si>
  <si>
    <t>21-10044-10</t>
  </si>
  <si>
    <t xml:space="preserve">  Cu/PVC/PVC (NYY) 5 x 10 mm2 re 0.6/1(1.2)kV</t>
  </si>
  <si>
    <t>21-10133-01</t>
  </si>
  <si>
    <t xml:space="preserve">  Cu/PVC/PVC (NYY) 5 x 6 mm2 re 0.6/1(1.2)kV</t>
  </si>
  <si>
    <t>21-10068-01</t>
  </si>
  <si>
    <t xml:space="preserve">  Cu/PVC/SFA/PVC (NYFGbY) 16 x 1.5 mm2 rm 0.6/1(1.2)kV</t>
  </si>
  <si>
    <t>21-10129-01</t>
  </si>
  <si>
    <t xml:space="preserve">  Cu/PVC/SFA/PVC (NYFGbY) 4 x 4 mm2 re 0.6/1(1.2)kV</t>
  </si>
  <si>
    <t>21-10088-02</t>
  </si>
  <si>
    <t xml:space="preserve">  Cu/PVC/SFA/PVC (NYFGbY) 4 x 6 mm2 re 0.6/1(1.2)kV</t>
  </si>
  <si>
    <t>21-10228-02</t>
  </si>
  <si>
    <t xml:space="preserve">  Cu/PVC/SFA/PVC (NYFGbY) 6 x 1.5 mm2 rm 0.6/1(1.2)kV</t>
  </si>
  <si>
    <t>21-10032-01</t>
  </si>
  <si>
    <t xml:space="preserve">  Cu/PVC/SFA/PVC (NYFGbY) 3 x 16 mm2 0.6/1 (1.2) kV</t>
  </si>
  <si>
    <t>21-10188-01</t>
  </si>
  <si>
    <t xml:space="preserve">  Cu/PVC/SFA/PVC (NYFGbY) 3 x 25 mm2 0.6/1 (1.2) kV</t>
  </si>
  <si>
    <t>21-10189-01</t>
  </si>
  <si>
    <t xml:space="preserve">  Cu/PVC/SFA/PVC (NYFGbY) 3 x 35 mm2 0.6/1 (1.2) kV</t>
  </si>
  <si>
    <t>21-10294-01</t>
  </si>
  <si>
    <t xml:space="preserve">  Cu/PVC/SFA/PVC (NYFGbY) 4 x 150 mm2 0.6/1 (1.2) kV</t>
  </si>
  <si>
    <t>21-10098-02</t>
  </si>
  <si>
    <t>21-10098-03</t>
  </si>
  <si>
    <t xml:space="preserve">  Cu/PVC/SWA/PVC (NYRGbY) 16 x 1.5 mm2 re 0.6/1 (1.2)kV</t>
  </si>
  <si>
    <t>21-10224-01</t>
  </si>
  <si>
    <t xml:space="preserve">  Cu/PVC/SWA/PVC (NYRGbY) 7 x 2.5 mm2 re 0.6/1 (1.2)kV</t>
  </si>
  <si>
    <t>21-10285-01</t>
  </si>
  <si>
    <t xml:space="preserve">  CU/XLPE/LSZH (N2XH) 1 x 150 mm2 rm 0.6/1 (1.2)kV</t>
  </si>
  <si>
    <t>21-20699-01</t>
  </si>
  <si>
    <t xml:space="preserve">  Cu/XLPE/LSZH (N2XH) 4 x 70 mm2 rm 0.6/1(1.2)kV</t>
  </si>
  <si>
    <t xml:space="preserve">  Cu/XLPE/PVC (N2XY) 1 x 120 mm2 cm 0.6/1 (1.2)kV</t>
  </si>
  <si>
    <t>21-21035-02</t>
  </si>
  <si>
    <t xml:space="preserve">  Cu/XLPE/PVC (N2XY) 1 x 150 mm2 cm 0.6/1 (1.2)kV</t>
  </si>
  <si>
    <t>21-20178-01</t>
  </si>
  <si>
    <t xml:space="preserve">  Cu/XLPE/PVC (N2XY) 1 x 185 mm2 cm 0.6/1 (1.2)kV</t>
  </si>
  <si>
    <t>21-21037-02</t>
  </si>
  <si>
    <t xml:space="preserve">  Cu/XLPE/PVC (N2XY) 1 x 25 mm2 cm 0.6/1 (1.2)kV</t>
  </si>
  <si>
    <t>21-21030-02</t>
  </si>
  <si>
    <t xml:space="preserve">  Cu/XLPE/PVC (N2XY) 1 x 35 mm2 cm 0.6/1 (1.2)kV</t>
  </si>
  <si>
    <t>21-21031-02</t>
  </si>
  <si>
    <t xml:space="preserve">  Cu/XLPE/PVC (N2XY) 1 x 50 mm2 cm 0.6/1 (1.2)kV</t>
  </si>
  <si>
    <t xml:space="preserve">  Cu/XLPE/LS/SWA/PVC (N2XRGbY) 4 x 2.5 mm2 rm 0.6/1(1.2) kV </t>
  </si>
  <si>
    <t>21-20353-01</t>
  </si>
  <si>
    <t xml:space="preserve">  Cu/XLPE/LS/SWA/PVC (N2XRY) 2 x 10 mm2 rm 0.6/1(1.2) kV </t>
  </si>
  <si>
    <t>21-21480-01</t>
  </si>
  <si>
    <t xml:space="preserve"> 31-20058-01</t>
  </si>
  <si>
    <t xml:space="preserve"> 31-20476-01</t>
  </si>
  <si>
    <t xml:space="preserve"> 31-20154-02</t>
  </si>
  <si>
    <t xml:space="preserve"> 31-20381-02</t>
  </si>
  <si>
    <t xml:space="preserve">  N2XSEFGBY 3 x 120 mm2 cm 12/20 (24) kV</t>
  </si>
  <si>
    <t xml:space="preserve"> 31-20014-03</t>
  </si>
  <si>
    <t xml:space="preserve">  T-EJ(Pem) E 2 x 2 x 0.9</t>
  </si>
  <si>
    <t>21-10071-01</t>
  </si>
  <si>
    <t>11-10037-10</t>
  </si>
  <si>
    <t>LAPORAN DR PRODUKSI</t>
  </si>
  <si>
    <t xml:space="preserve">  BCC HD 70 mm2 re</t>
  </si>
  <si>
    <t xml:space="preserve">  Cu/PVC/PVC (NYY) 5 x 4 mm2 re 0.6/1(1.2)kV</t>
  </si>
  <si>
    <t>21-10114-01</t>
  </si>
  <si>
    <t xml:space="preserve">  Cu/PVC/PVC (NYY) 5 x 2.5 mm2 re 0.6/1(1.2)kV</t>
  </si>
  <si>
    <t xml:space="preserve">  Al/PVC/SFA/PVC (NAYFGbY) 4 x 50 mm2 rm 0.6/1 (1.2) kV</t>
  </si>
  <si>
    <t>22-10112-01</t>
  </si>
  <si>
    <t xml:space="preserve">  Al/PVC/SFA/PVC (NAYFGbY) 4 x 70 mm2 rm 0.6/1 (1.2) kV</t>
  </si>
  <si>
    <t>22-10014-01</t>
  </si>
  <si>
    <t xml:space="preserve">  Al/PVC/SFA/PVC (NAYFGbY) 4 x 16 mm2 rm 0.6/1 (1.2) kV</t>
  </si>
  <si>
    <t>22-10049-01</t>
  </si>
  <si>
    <t xml:space="preserve">  Al/PVC/SFA/PVC (NAYFGbY) 4 x 95 mm2 rm 0.6/1 (1.2) kV</t>
  </si>
  <si>
    <t>22-10015-01</t>
  </si>
  <si>
    <t xml:space="preserve">  AL/XLPE/PVC (NA2XY) 1 x 50 mm2 rm 0.6/1 (1.2) kV</t>
  </si>
  <si>
    <t>22-20019-02</t>
  </si>
  <si>
    <t xml:space="preserve">  AL/XLPE/PVC (NA2XY) 1 x 120 mm2 rm 0.6/1 (1.2) kV</t>
  </si>
  <si>
    <t>22-20022-02</t>
  </si>
  <si>
    <t xml:space="preserve">  Cu/PVC/PVC (NYY) 3 x 16 mm2 rm 0.6/1 (1.2)kV</t>
  </si>
  <si>
    <t>21-10083-01</t>
  </si>
  <si>
    <t xml:space="preserve">  NYMHY 2 x 2.5 mm2 f 300/500 V</t>
  </si>
  <si>
    <t>11-10007-01</t>
  </si>
  <si>
    <t xml:space="preserve">  NYMHY 2 x 0.75 mm2 f 300/500 V</t>
  </si>
  <si>
    <t>11-10004-01</t>
  </si>
  <si>
    <t xml:space="preserve">  Cu/PVC/SFA/PVC (NYFGbY) 3 x 70 mm2 sm 0.6/1 (1.2) kV</t>
  </si>
  <si>
    <t>21-10378-01</t>
  </si>
  <si>
    <t>21-10098-01</t>
  </si>
  <si>
    <t xml:space="preserve">  N2XSEBY 3 x 120 mm2 cm  12/20 kV 12/20 (24) kV</t>
  </si>
  <si>
    <t xml:space="preserve"> 31-20038-01</t>
  </si>
  <si>
    <t>31-20037-02</t>
  </si>
  <si>
    <t xml:space="preserve">  Cu/XLPE/CTS/PVC (N2XSY) 1 x 185 mm2 cm 12/20 (24) kV</t>
  </si>
  <si>
    <t>31-20004-01</t>
  </si>
  <si>
    <t xml:space="preserve">  Cu/XLPE/CTS/PVC (N2XSY) 1 x 95 mm2 cm 12/20 (24) kV</t>
  </si>
  <si>
    <t>31-20036-02</t>
  </si>
  <si>
    <t xml:space="preserve">  Cu/XLPE/CTS/PVC (N2XSY) 1 x 50 mm2 cm 12/20 (24) kV</t>
  </si>
  <si>
    <t>31-20042-01</t>
  </si>
  <si>
    <t xml:space="preserve">  Cu/XLPE/CTS/PVC (N2XSY) 1 x 70 mm2 cm 12/20 (24) kV</t>
  </si>
  <si>
    <t xml:space="preserve">  Cu/XLPE/CTS/PVC (N2XSY) 1 x 35 mm2 cm 12/20 (24) kV</t>
  </si>
  <si>
    <t>31-20035-02</t>
  </si>
  <si>
    <t>31-20043-03</t>
  </si>
  <si>
    <t xml:space="preserve">  Cu/XLPE/DSTA/PVC (N2XBY) 2 x 120 mm2 rm 0.6/1 (1.2) kV</t>
  </si>
  <si>
    <t>21-21078-01</t>
  </si>
  <si>
    <t xml:space="preserve">  Cu/XLPE/DSTA/PVC (N2XBY) 2 x 95 mm2 rm 0.6/1 (1.2) kV</t>
  </si>
  <si>
    <t>21-21230-02</t>
  </si>
  <si>
    <t xml:space="preserve">  Cu/XLPE/PVC (N2XY) 3 x 300 + 150 mm2 sm/rm 0.6/1 (1.2) kV</t>
  </si>
  <si>
    <t>21-21483-02</t>
  </si>
  <si>
    <t xml:space="preserve">  Cu/XLPE/SWA/PVC (N2XRGbY) 4 x 1.5 mm2 rm 0.6/1 (1.2)kV</t>
  </si>
  <si>
    <t xml:space="preserve">  Cu/XLPE/SWA/PVC (N2XRGBY) 3 X 35 + 25 mm2 rm 0.6/1 (1.2) kv</t>
  </si>
  <si>
    <t xml:space="preserve">  21-21347-03</t>
  </si>
  <si>
    <t>11-10031-01</t>
  </si>
  <si>
    <t xml:space="preserve">  NYYHY 3 x 6 mm2 f 450/750 V</t>
  </si>
  <si>
    <t>11-10087-01</t>
  </si>
  <si>
    <t xml:space="preserve">  NYYHY 2 x 0.75 mm2 f 450/750 V</t>
  </si>
  <si>
    <t>11-10040-01</t>
  </si>
  <si>
    <t xml:space="preserve"> 32-20055-02</t>
  </si>
  <si>
    <t xml:space="preserve">  Cu/MT/XLPE/PVC (N2XY-FE) 1 x 300 mm2 cm 0.6/1 (1.2)kV</t>
  </si>
  <si>
    <t>21-20038-01</t>
  </si>
  <si>
    <t xml:space="preserve">  CU/PVC/AWA/PVC (NYRaY) 1 X 240 mm2 rm 0.6/1 (1.2) kV</t>
  </si>
  <si>
    <t xml:space="preserve">  Cu/PVC/CWS/PVC (NYCY) 2 x 2.5/2.5 mm2 rm 0.6/1 (1.2) kV</t>
  </si>
  <si>
    <t>21-10052-02</t>
  </si>
  <si>
    <t xml:space="preserve">  Cu/PVC/CWS/PVC (NYCY) 4 x 1.5/1.5 mm2 rm 0.6/1(1.2) kV</t>
  </si>
  <si>
    <t>21-10169-02</t>
  </si>
  <si>
    <t xml:space="preserve">  Cu/PVC/CWS/PVC (NYCY) 10 x 1.5/2.5 mm2 rm 0.6/1(1.2) kV</t>
  </si>
  <si>
    <t>21-10725-02</t>
  </si>
  <si>
    <t xml:space="preserve">  Cu/PVC/CWS/PVC (NYCY) 20 x 1.5/4 mm2 rm 0.6/1(1.2) kV</t>
  </si>
  <si>
    <t>21-10901-01</t>
  </si>
  <si>
    <t xml:space="preserve">  NYMHY 4 x 2.5 mm2 f 300/500 V</t>
  </si>
  <si>
    <t>11-10018-01</t>
  </si>
  <si>
    <t xml:space="preserve">  Cu/PVC/SWA/PVC (NYRGbY) 5 x 2.5 mm2 re 0.6/1 (1.2)kV</t>
  </si>
  <si>
    <t>21-10252-01</t>
  </si>
  <si>
    <t xml:space="preserve">  Cu/PVC-f (NYAF) 185 mm2 f 450/750 V</t>
  </si>
  <si>
    <t>21-10254-02</t>
  </si>
  <si>
    <t xml:space="preserve">  N2XSEBY 3 x 95 mm2 cm  12/20 kV 12/20 (24) kV</t>
  </si>
  <si>
    <t xml:space="preserve">  N2XSEBY 3 x 50 mm2 cm  12/20 kV 12/20 (24) kV</t>
  </si>
  <si>
    <t xml:space="preserve">  R-V(Pe)V 6 x 2 x 0.6 </t>
  </si>
  <si>
    <t>61-10005-01</t>
  </si>
  <si>
    <t xml:space="preserve">  N2X2YB2Y 4 x 4 mm2 rm 0.6/1 (1.2) kV</t>
  </si>
  <si>
    <t xml:space="preserve">  N2X2YB2Y 3 x 16 mm2 rm 0.6/1 (1.2) kV</t>
  </si>
  <si>
    <t>21-21423-01</t>
  </si>
  <si>
    <t>21-21424-01</t>
  </si>
  <si>
    <t xml:space="preserve">  Cu/XLPE/SWA/PVC (N2XRY) 2 x 16 mm2 rm 0.6/1 (1.2) kV</t>
  </si>
  <si>
    <t xml:space="preserve"> 21-20055-01</t>
  </si>
  <si>
    <t xml:space="preserve">  AAAC 35 mm2</t>
  </si>
  <si>
    <t>11-10263-01</t>
  </si>
  <si>
    <t xml:space="preserve">  Cu/PVC-f (NYAF) 2.5 mm2 f450/750 V</t>
  </si>
  <si>
    <t>11-10044-01</t>
  </si>
  <si>
    <t>11-10044-04</t>
  </si>
  <si>
    <t xml:space="preserve">  NYYHY 4 x 2.5 mm2 f 0.6/1 (1.2) kV</t>
  </si>
  <si>
    <t>22-10013-01</t>
  </si>
  <si>
    <t>21-10267-01</t>
  </si>
  <si>
    <t xml:space="preserve">  CU/PVC/AWA/PVC (NYRaY) 1 X 630 mm2 rm 0.6/1 (1.2) kV</t>
  </si>
  <si>
    <t>21-10768-01</t>
  </si>
  <si>
    <t xml:space="preserve">  Cu/PVC/CWS/PVC (NYCY) 19 x 1.5/4 mm2 rm 0.6/1(1.2) kV</t>
  </si>
  <si>
    <t>21-10868-01</t>
  </si>
  <si>
    <t xml:space="preserve">  Cu/PVC/CWS/PVC (NYCY) 3 x 2.5/2.5 mm2 rm 0.6/1(1.2) kV</t>
  </si>
  <si>
    <t>21-10658-01</t>
  </si>
  <si>
    <t xml:space="preserve">  Cu/PVC/CWS/PVC (NYCY) 4 x 6/6 mm2 rm 0.6/1(1.2) kV</t>
  </si>
  <si>
    <t>21-10053-02</t>
  </si>
  <si>
    <t>21-10182-01</t>
  </si>
  <si>
    <t>21-10081-02</t>
  </si>
  <si>
    <t xml:space="preserve">  Cu/PVC-f (NYAF) 240 mm2 f 0.6/1 (1.2) kV</t>
  </si>
  <si>
    <t xml:space="preserve">  Cu/XLPE/LS/SFA/PVC (N2XKFGbY) 4 x 35 mm2 rm 0.6/1 (1.2) kV</t>
  </si>
  <si>
    <t xml:space="preserve"> 21-21340-01</t>
  </si>
  <si>
    <t>21-21039-01</t>
  </si>
  <si>
    <t xml:space="preserve">  Cu/XLPE/SWA/PVC (N2XRGbY) 4 x 6 mm2 rm 0.6/1 (1.2)kV</t>
  </si>
  <si>
    <t xml:space="preserve">  N2X2YB2Y 14 x 2.5 mm2 rm 0.6/1 (1.2) kV</t>
  </si>
  <si>
    <t xml:space="preserve">  N2XSEBY 3 x 150 mm2 cm  12/20 kV 12/20 (24) kV</t>
  </si>
  <si>
    <t xml:space="preserve"> 31-20056-02</t>
  </si>
  <si>
    <t xml:space="preserve"> 31-20135-01</t>
  </si>
  <si>
    <t xml:space="preserve">  N2XSEFGBY 3 x 35 mm2 cm 6/10 (12) kV</t>
  </si>
  <si>
    <t xml:space="preserve"> 31-20133-01</t>
  </si>
  <si>
    <t xml:space="preserve">  N2XSEFGBY 3 x 120 mm2 cm 6/10 (12) kV</t>
  </si>
  <si>
    <t xml:space="preserve">  Al/XLPE/SFA/PVC (NA2XFGbY) 4 x 70 mm2 rm 0.6/1 (1.2) kV</t>
  </si>
  <si>
    <t>22-20013-01</t>
  </si>
  <si>
    <t xml:space="preserve">  Cu/PVC/CWS/PVC (NYCY) 2 x 2.5/2.5 mm2 rm 0.6/1(1.2) kV</t>
  </si>
  <si>
    <t xml:space="preserve">  Cu/PVC/SFA/PVC (NYFGbY) 3 x 50 mm2 0.6/1 (1.2) kV</t>
  </si>
  <si>
    <t xml:space="preserve">  Cu/PVC/SFA/PVC (NYFGbY) 3 x 70 mm2 0.6/1 (1.2) kV</t>
  </si>
  <si>
    <t xml:space="preserve">  Cu/XLPE/DSTA/PVC (N2XBY) 2 x 120 mm2 rm 0.6/1(1.2)kV</t>
  </si>
  <si>
    <t xml:space="preserve">  Cu/XLPE/PVC (N2XY) 3 x 300 + 150 mm2 sm/rm 0.6/1 (1.2)kV</t>
  </si>
  <si>
    <t xml:space="preserve">  Cu/XLPE/LS/SWA/PVC (N2XRGbY) 3 X 35 + 25mm2 rm 0.6/1 (1.2)kV</t>
  </si>
  <si>
    <t>21-21347-03</t>
  </si>
  <si>
    <t>31-20038-01</t>
  </si>
  <si>
    <t xml:space="preserve">  Al/XLPE/SFA/PVC (NA2XY) 4 x 70 mm2 rm 0.6/1 (1.2) kV</t>
  </si>
  <si>
    <t xml:space="preserve">  Cu/PVC/SFA/PVC (NYFGbY) 4 x 185 mm2 0.6/1 (1.2) kV</t>
  </si>
  <si>
    <t xml:space="preserve">  Cu/XLPE/SWA/PVC (N2XRGbY) 3 x 35 + 25 rm 0.6/1(1.2) kV</t>
  </si>
  <si>
    <t xml:space="preserve">  Cu/XLPE/SWA/PVC (N2XRGbY) 4 x 6 mm2 rm 0.6/1(1.2) kV</t>
  </si>
  <si>
    <t>2024</t>
  </si>
  <si>
    <t xml:space="preserve"> Cu/PVC/OS/PVC 3 x 1.5 mm2 rm 0.6/1 (1.2) kV</t>
  </si>
  <si>
    <t>51-10337-01</t>
  </si>
  <si>
    <t>21-10179-01</t>
  </si>
  <si>
    <t xml:space="preserve">  Cu/PVC-f (NYAF) 2 mm2 f450/750 V</t>
  </si>
  <si>
    <t>11-10274-01</t>
  </si>
  <si>
    <t xml:space="preserve">  Cu/PVC-f (NYAF) 16 mm2 f 450/750 V</t>
  </si>
  <si>
    <t>21-10216-01</t>
  </si>
  <si>
    <t>11-10035-05</t>
  </si>
  <si>
    <t xml:space="preserve">  Cu/XLPE/SWA/PVC (N2XRGbY) 4 x 10 mm2 rm 0.6/1 (1.2)kV</t>
  </si>
  <si>
    <t>21-20046-13</t>
  </si>
  <si>
    <t xml:space="preserve">  Cu/XLPE/SWA/PVC (N2XRGbY) 4 x 4 mm2 rm 0.6/1 (1.2)kV</t>
  </si>
  <si>
    <t>21-20072-09</t>
  </si>
  <si>
    <t>21-20073-12</t>
  </si>
  <si>
    <t>11-10037-03</t>
  </si>
  <si>
    <t>42-00045-01</t>
  </si>
  <si>
    <t xml:space="preserve">  AL/XLPE/PVC (NA2XY) 1 x 500 mm2 rm 0.6/1 (1.2) kV</t>
  </si>
  <si>
    <t>22-20024-02</t>
  </si>
  <si>
    <t xml:space="preserve">  Cu/PVC/LS/SFA/PVC (NYKFGbY) 3 x 4 mm2 rm 0.6/1 (1.2)kV</t>
  </si>
  <si>
    <t>21-10638-01</t>
  </si>
  <si>
    <t xml:space="preserve">  Cu/PVC/LS/SFA/PVC (NYKFGbY) 7 x 2.5 mm2 rm 0.6/1 (1.2)kV</t>
  </si>
  <si>
    <t>21-10639-01</t>
  </si>
  <si>
    <t>21-10028-02</t>
  </si>
  <si>
    <t xml:space="preserve">  Cu/PVC-f (NYAF) 0.75 mm2 f450/750 V</t>
  </si>
  <si>
    <t>11-10048-03</t>
  </si>
  <si>
    <t xml:space="preserve">  NYYHY 12 x 0.75 mm2 f 450/750 V</t>
  </si>
  <si>
    <t>11-10190-01</t>
  </si>
  <si>
    <t xml:space="preserve">  CU/XLPE/SWA/LSZH 7 x 1.5 mm2 rm 0.6/1(1.2) kV</t>
  </si>
  <si>
    <t>21-21519-01</t>
  </si>
  <si>
    <t>11-10011-05</t>
  </si>
  <si>
    <t xml:space="preserve">  Cu/PVC (NYA) 1.5 mm2 rm 450/750 V</t>
  </si>
  <si>
    <t>11-10051-01</t>
  </si>
  <si>
    <t>11-10051-02</t>
  </si>
  <si>
    <t>11-10051-03</t>
  </si>
  <si>
    <t>11-10051-04</t>
  </si>
  <si>
    <t>11-10051-05</t>
  </si>
  <si>
    <t>11-10034-05</t>
  </si>
  <si>
    <t>11-10034-03</t>
  </si>
  <si>
    <t xml:space="preserve">  NYMHY 3 x 0.75 mm2 f 450/750 V</t>
  </si>
  <si>
    <t>11-10028-01</t>
  </si>
  <si>
    <t>11-10028-03</t>
  </si>
  <si>
    <t>11-10048-02</t>
  </si>
  <si>
    <t>11-10048-04</t>
  </si>
  <si>
    <t>11-10048-05</t>
  </si>
  <si>
    <t>11-10043-03</t>
  </si>
  <si>
    <t>11-10017-02</t>
  </si>
  <si>
    <t xml:space="preserve"> Cu/PVC/OS/SWA/LSZH 3 x 2.5 mm2 </t>
  </si>
  <si>
    <t>51-10336-01</t>
  </si>
  <si>
    <t>21-10031-03</t>
  </si>
  <si>
    <t xml:space="preserve">  Cu/PVC/PVC (NYY) 2 x 4 mm2 rm 0.6/1(1.2)kV</t>
  </si>
  <si>
    <t>21-10155-01</t>
  </si>
  <si>
    <t>21-10072-01</t>
  </si>
  <si>
    <t>21-10073-01</t>
  </si>
  <si>
    <t>21-10082-01</t>
  </si>
  <si>
    <t>21-10119-06</t>
  </si>
  <si>
    <t>21-10118-01</t>
  </si>
  <si>
    <t xml:space="preserve">  Cu/PVC/PVC (NYY) 5 x 16 mm2 sm 0.6/1 (1.2)kV</t>
  </si>
  <si>
    <t>21-10288-01</t>
  </si>
  <si>
    <t>21-10090-02</t>
  </si>
  <si>
    <t>21-10023-02</t>
  </si>
  <si>
    <t>21-10025-01</t>
  </si>
  <si>
    <t>21-20184-02</t>
  </si>
  <si>
    <t>21-20068-11</t>
  </si>
  <si>
    <t xml:space="preserve">  DC SOLAR CABLE (H1Z2Z2-K) 6 mm2 f 1500 V</t>
  </si>
  <si>
    <t>A3-20004-01</t>
  </si>
  <si>
    <t xml:space="preserve">  Cu/PVC/OS/PVC 3 x 1.5 mm2 rm 0.6/1 (1.2) kV </t>
  </si>
  <si>
    <t>21-21340-01</t>
  </si>
  <si>
    <t xml:space="preserve">  Cu/XLPE/SWA/PVC (N2XRGbY) 4 x 10 mm2 rm 0.6/1(1.2) kV</t>
  </si>
  <si>
    <t xml:space="preserve">  Cu/XLPE/SWA/PVC (N2XRGbY) 4 x 4 mm2 rm 0.6/1(1.2) kV</t>
  </si>
  <si>
    <t xml:space="preserve">  Cu/XLPE/PVC (N2XY) 4 x 35 mm2 rm 0.6/1 (1.2)kV</t>
  </si>
  <si>
    <t xml:space="preserve">  NYMHY 3 x 0.75 mm2 f 300/500 V</t>
  </si>
  <si>
    <t xml:space="preserve">  Cu/PVC/OS/SWA/LSZH 3 x 2.5 mm2 300/500 v</t>
  </si>
  <si>
    <t xml:space="preserve">  Cu/PVC/LS/SFA/PVC (NYKFGbY) 3 x 4 mm2 rm 0.6/1(1.2) kV</t>
  </si>
  <si>
    <t xml:space="preserve">  Cu/PVC/LS/SFA/PVC (NYKFGbY) 7 x 2.5 mm2 rm 0.6/1(1.2) kV</t>
  </si>
  <si>
    <t xml:space="preserve">  Cu/XLPE/SWA/LSZH 7 x 1.5 mm2 rm 0.6/1 (1.2) kV</t>
  </si>
  <si>
    <t>11-10052-02</t>
  </si>
  <si>
    <t>11-10052-03</t>
  </si>
  <si>
    <t xml:space="preserve">  Cu/PVC/PVC (NYM) 4 x 6 mm2 re 300/500 V</t>
  </si>
  <si>
    <t>11-10050-02</t>
  </si>
  <si>
    <t>11-10007-04</t>
  </si>
  <si>
    <t>11-10025-04</t>
  </si>
  <si>
    <t>11-10025-05</t>
  </si>
  <si>
    <t>11-10043-01</t>
  </si>
  <si>
    <t>11-10043-02</t>
  </si>
  <si>
    <t xml:space="preserve">  NYYHY 2 x 4 mm2 f 450/750 V</t>
  </si>
  <si>
    <t>11-10053-01</t>
  </si>
  <si>
    <t xml:space="preserve">  NYYHY 2 x 6 mm2 f 450/750 V</t>
  </si>
  <si>
    <t>11-10085-01</t>
  </si>
  <si>
    <t>11-10013-03</t>
  </si>
  <si>
    <t xml:space="preserve">  NYYHY 4 x 4 mm2 f 450/750 V</t>
  </si>
  <si>
    <t>11-10046-01</t>
  </si>
  <si>
    <t xml:space="preserve">  NYYHY 4 x 6 mm2 f 450/750 V</t>
  </si>
  <si>
    <t>11-10069-01</t>
  </si>
  <si>
    <t xml:space="preserve">  AL/XLPE/PVC (NA2XY) 1 x 400 mm2 rm 0.6/1 (1.2) kV</t>
  </si>
  <si>
    <t>22-20007-02</t>
  </si>
  <si>
    <t>21-10084-01</t>
  </si>
  <si>
    <t xml:space="preserve">  Cu/PVC/SWA/PVC (NYRGbY) 4 x 1.5 mm2 re 0.6/1 (1.2)kV</t>
  </si>
  <si>
    <t>21-10153-01</t>
  </si>
  <si>
    <t>21-20190-02</t>
  </si>
  <si>
    <t xml:space="preserve">  Cu/XLPE/CTS/SFA/PVC (N2XSEFGBY 3 x 95 mm2 cm 12/20 (24) kV</t>
  </si>
  <si>
    <t xml:space="preserve"> 31-20053-02</t>
  </si>
  <si>
    <t>21-10864-01</t>
  </si>
  <si>
    <t>21-10140-01</t>
  </si>
  <si>
    <t xml:space="preserve">  NYBY 12 x 1.5 mm2 re 0.6/1(1.2) kV</t>
  </si>
  <si>
    <t xml:space="preserve">  AAAC-S 150 mm2 (19 wire)</t>
  </si>
  <si>
    <t>42-20018-01</t>
  </si>
  <si>
    <t>11-10022-02</t>
  </si>
  <si>
    <t>11-10018-04</t>
  </si>
  <si>
    <t xml:space="preserve">  Cu/PVC-f (NYAF) 10 mm2 f450/750 V</t>
  </si>
  <si>
    <t>11-10063-01</t>
  </si>
  <si>
    <t>11-10044-02</t>
  </si>
  <si>
    <t>11-10041-02</t>
  </si>
  <si>
    <t>11-10016-02</t>
  </si>
  <si>
    <t xml:space="preserve">  Al/PVC/SFA/PVC (NAYFGbY) 4 x 120 mm2 rm 0.6/1 (1.2) kV</t>
  </si>
  <si>
    <t>22-10089-01</t>
  </si>
  <si>
    <t xml:space="preserve">  Cu/PVC/SWA/PVC (NYRGbY) 2 x 2.5 mm2 re 0.6/1 (1.2)kV</t>
  </si>
  <si>
    <t>21-10216-02</t>
  </si>
  <si>
    <t xml:space="preserve">  Cu/PVC-f (NYAF) 25 mm2 f 450/750 V</t>
  </si>
  <si>
    <t>21-10253-01</t>
  </si>
  <si>
    <t>21-10253-02</t>
  </si>
  <si>
    <t xml:space="preserve">  Cu/XLPE/PVC (N2XY) 4 x 25 mm2 cm 0.6/1 (1.2)kV</t>
  </si>
  <si>
    <t xml:space="preserve">  N2XSEBY 3 x 300 mm2 cm  12/20 (24) kV</t>
  </si>
  <si>
    <t xml:space="preserve"> 31-20024-01</t>
  </si>
  <si>
    <t>31-20005-01</t>
  </si>
  <si>
    <t>61-30001-01</t>
  </si>
  <si>
    <t xml:space="preserve">  72-20004-01</t>
  </si>
  <si>
    <t>21-20145-13</t>
  </si>
  <si>
    <t xml:space="preserve">  AAAC-S 150 mm2 ( 19 wire )</t>
  </si>
  <si>
    <t>11-10004-04</t>
  </si>
  <si>
    <t xml:space="preserve">  Cu/XLPE/PVC (N2XY) 4 x 25 mm2 rm 0.6/1 (1.2)kV</t>
  </si>
  <si>
    <t xml:space="preserve">  N2XSEBY 3 x 300 mm2 cm 12/20 (24) kV</t>
  </si>
  <si>
    <t>11-10007-03</t>
  </si>
  <si>
    <t xml:space="preserve">  NYMHY 4 x 0.75 mm2 f 300/500 V</t>
  </si>
  <si>
    <t>11-10029-01</t>
  </si>
  <si>
    <t xml:space="preserve">  NYMHY 5 x 2.5 mm2 f 300/500 V</t>
  </si>
  <si>
    <t>11-10059-01</t>
  </si>
  <si>
    <t xml:space="preserve">  Cu/PVC-f (NYAF) 4 mm2 f450/750 V</t>
  </si>
  <si>
    <t>11-10049-01</t>
  </si>
  <si>
    <t>11-10076-01</t>
  </si>
  <si>
    <t>11-10040-02</t>
  </si>
  <si>
    <t xml:space="preserve">  NYYHY 2 x 10 mm2 f 450/750 V</t>
  </si>
  <si>
    <t>11-10180-01</t>
  </si>
  <si>
    <t>11-10041-01</t>
  </si>
  <si>
    <t xml:space="preserve">  Cu/PVC/PVC (NYY) 1 x 630 mm2 rm 0.6/1 (1.2)kV</t>
  </si>
  <si>
    <t>21-10198-02</t>
  </si>
  <si>
    <t xml:space="preserve">  Cu/PVC/PVC (NYY) 3 x 35 mm2 rm 0.6/1 (1.2)kV</t>
  </si>
  <si>
    <t>21-10085-01</t>
  </si>
  <si>
    <t xml:space="preserve">  Cu/PVC/PVC (NYY) 5 x 25 mm2 sm 0.6/1 (1.2)kV</t>
  </si>
  <si>
    <t>21-10498-01</t>
  </si>
  <si>
    <t xml:space="preserve">  Cu/PVC/PVC (NYY) 5 x 35 mm2 sm 0.6/1 (1.2)kV</t>
  </si>
  <si>
    <t>21-10115-01</t>
  </si>
  <si>
    <t xml:space="preserve">  Cu/PVC/SFA/PVC (NYFGbY) 20 x 1.5 mm2 rm 0.6/1(1.2)kV</t>
  </si>
  <si>
    <t>21-10183-01</t>
  </si>
  <si>
    <t xml:space="preserve">  Cu/PVC-f (NYAF) 35 mm2 f 450/750 V</t>
  </si>
  <si>
    <t>21-10270-01</t>
  </si>
  <si>
    <t>21-10270-02</t>
  </si>
  <si>
    <t xml:space="preserve">  Cu/XLPE/LSZH (N2XH) 5 x 2.5 mm2 rm 0.6/1(1.2)kV</t>
  </si>
  <si>
    <t>21-21100-01</t>
  </si>
  <si>
    <t xml:space="preserve">  Cu/XLPE/SWA/PVC (N2XRY) 4 x 16 mm2 rm 0.6/1 (1.2) kV</t>
  </si>
  <si>
    <t>21-20091-01</t>
  </si>
  <si>
    <t>31-20028-03</t>
  </si>
  <si>
    <t xml:space="preserve">  Cu/MT/XLPE/LSZH (N2XH-FE) 2 x 1.5 mm2 rm 0.6/1 (1.2) kV</t>
  </si>
  <si>
    <t>91-20062-02</t>
  </si>
  <si>
    <t xml:space="preserve">  Cu/MT/XLPE/LSZH (N2XH-FE) 3 x 2.5 mm2 rm 0.6/1 (1.2) kV</t>
  </si>
  <si>
    <t>91-20061-02</t>
  </si>
  <si>
    <t xml:space="preserve">  Cu/MT/XLPE/OS/LSZH 1 x 2 x 18 AWG rm 500 V</t>
  </si>
  <si>
    <t>91-20409-01</t>
  </si>
  <si>
    <t xml:space="preserve">  NFA2X-T 3 x 50 +35</t>
  </si>
  <si>
    <t xml:space="preserve">  72-20015-01</t>
  </si>
  <si>
    <t>21-10145-01</t>
  </si>
  <si>
    <t xml:space="preserve">  Cu/MT/XLPE/LSZH (N2XH-FE)   2 x 1.5 mm2 rm 0.6/1(1.2) kV</t>
  </si>
  <si>
    <t xml:space="preserve">  Cu/MT/XLPE/LSZH (N2XH-FE)   3 x 2.5 mm2 rm 0.6/1(1.2) kV</t>
  </si>
  <si>
    <t xml:space="preserve">  Cu/XLPE/SWA/PVC (N2XRY) 1 x 16 mm2 rm 0.6/1(1.2)kV</t>
  </si>
  <si>
    <t xml:space="preserve"> 21-20091-01</t>
  </si>
  <si>
    <t xml:space="preserve">  Cu/MT/XLPE/OS/LSZH 1 x 2 x 18 AWG  rm  500 V</t>
  </si>
  <si>
    <t xml:space="preserve">  NFA2X-T    3 x 50 + 35 mm2 rm 0.6/1 (1.2) kV</t>
  </si>
  <si>
    <t xml:space="preserve"> 72-20015-01</t>
  </si>
  <si>
    <t xml:space="preserve"> 72-20001-04</t>
  </si>
  <si>
    <t xml:space="preserve"> 72-20002-01</t>
  </si>
  <si>
    <t xml:space="preserve"> 72-20012-01</t>
  </si>
  <si>
    <t xml:space="preserve"> 72-20004-01</t>
  </si>
  <si>
    <t xml:space="preserve">  NYYHY 3 x 10 mm2 f 450/750 V</t>
  </si>
  <si>
    <t>11-10101-01</t>
  </si>
  <si>
    <t xml:space="preserve">  NYYHY 3 x 16 mm2 f 450/750 V</t>
  </si>
  <si>
    <t>11-10136-01</t>
  </si>
  <si>
    <t xml:space="preserve">  NYYHY 3 x 25 mm2 f 450/750 V</t>
  </si>
  <si>
    <t>11-10137-01</t>
  </si>
  <si>
    <t>11-10035-02</t>
  </si>
  <si>
    <t xml:space="preserve">  NYYHY 4 x 10 mm2 f 450/750 V</t>
  </si>
  <si>
    <t>11-10102-01</t>
  </si>
  <si>
    <t xml:space="preserve">  NYYHY 4 x 25 mm2 f 450/750 V</t>
  </si>
  <si>
    <t>11-10138-01</t>
  </si>
  <si>
    <t xml:space="preserve">  Cu/PVC/PVC (NYY) 2 x 6 mm2 rm 0.6/1(1.2)kV</t>
  </si>
  <si>
    <t>21-10181-01</t>
  </si>
  <si>
    <t>21-10021-02</t>
  </si>
  <si>
    <t xml:space="preserve">  Cu/PVC-f (NYAF) 150 mm2 f 450/750 V</t>
  </si>
  <si>
    <t>21-10185-02</t>
  </si>
  <si>
    <t>21-20114-02</t>
  </si>
  <si>
    <t>21-20554-03</t>
  </si>
  <si>
    <t xml:space="preserve">  Cu/XLPE/LS/SWA/PVC (N2XRY) 3 x 4 mm2 rm 0.6/1(1.2) kV </t>
  </si>
  <si>
    <t xml:space="preserve">  21-20076-03</t>
  </si>
  <si>
    <t xml:space="preserve">  Cu/XLPE/LS/SWA/PVC (N2XRY) 3 x 6 mm2 rm 0.6/1(1.2) kV </t>
  </si>
  <si>
    <t xml:space="preserve">  21-21480-01</t>
  </si>
  <si>
    <t xml:space="preserve">  21-20353-01</t>
  </si>
  <si>
    <t xml:space="preserve">  21-20072-09</t>
  </si>
  <si>
    <t xml:space="preserve">  21-20073-12</t>
  </si>
  <si>
    <t xml:space="preserve">  21-20046-13</t>
  </si>
  <si>
    <t xml:space="preserve">  21-20660-05</t>
  </si>
  <si>
    <t xml:space="preserve">  21-10638-01</t>
  </si>
  <si>
    <t xml:space="preserve">  21-10639-01</t>
  </si>
  <si>
    <t>21-20017-02</t>
  </si>
  <si>
    <t xml:space="preserve">  NYYHY 3 x 35 mm2 f 450/750 V</t>
  </si>
  <si>
    <t xml:space="preserve"> 21-10419-01</t>
  </si>
  <si>
    <t xml:space="preserve">  NYYHY 4 x 16 mm2 f 450/750 V</t>
  </si>
  <si>
    <t xml:space="preserve"> 21-10121-01</t>
  </si>
  <si>
    <t xml:space="preserve">  NYYHY 4 x 35 mm2 f 450/750 V</t>
  </si>
  <si>
    <t xml:space="preserve"> 21-10122-01</t>
  </si>
  <si>
    <t xml:space="preserve">  N2XSEBY 3 x 70 mm2 cm  12/20 (24) kV</t>
  </si>
  <si>
    <t xml:space="preserve"> 31-20046-01</t>
  </si>
  <si>
    <t xml:space="preserve"> 31-20010-02</t>
  </si>
  <si>
    <t xml:space="preserve">  NFA2X 4 x 25 mm2 rm 0.6/1 (1.2)kV</t>
  </si>
  <si>
    <t xml:space="preserve">   72-20019-01</t>
  </si>
  <si>
    <t>21-10223-02</t>
  </si>
  <si>
    <t xml:space="preserve">  Cu/XLPE/SWA/PVC (N2XRY) 3 x 4 mm2 rm 0.6/1(1.2) kV </t>
  </si>
  <si>
    <t>21-20076-03</t>
  </si>
  <si>
    <t xml:space="preserve">  Cu/XLPE/SWA/PVC (N2XRY) 3 x 6 mm2 rm 0.6/1(1.2) kV </t>
  </si>
  <si>
    <t>21-20086-03</t>
  </si>
  <si>
    <t xml:space="preserve"> 72-20019-01</t>
  </si>
  <si>
    <t xml:space="preserve">  N2XSEBY 3 x 120mm2 cm 12/20 (24) kV</t>
  </si>
  <si>
    <t xml:space="preserve">  N2XSEBY 3 x 95 mm2 cm  12/20 (24) kV</t>
  </si>
  <si>
    <t xml:space="preserve">  N2XSEBY 3 x 50 mm2 cm  12/20 (24) kV</t>
  </si>
  <si>
    <t>Jakarta, 4 Juli 2025</t>
  </si>
  <si>
    <t>42-20003-01</t>
  </si>
  <si>
    <t>42-00003-03</t>
  </si>
  <si>
    <t>11-10011-07</t>
  </si>
  <si>
    <t>11-10012-07</t>
  </si>
  <si>
    <t>11-10024-02</t>
  </si>
  <si>
    <t xml:space="preserve"> Cu/PVC/IS/OS/SWA/PVC 20 x 2 x 1.5 mm2 rm 500 V</t>
  </si>
  <si>
    <t>51-10331-02</t>
  </si>
  <si>
    <t xml:space="preserve"> Cu/PVC/OS/SWA/PVC 1 x 2 x 1.5 mm2 rm 500 V</t>
  </si>
  <si>
    <t>51-10009-08</t>
  </si>
  <si>
    <t xml:space="preserve">  Cu/XLPE/IS/OS/SWA/PVC 2 x 2 x 1.5 mm2 rm 500 V</t>
  </si>
  <si>
    <t xml:space="preserve"> 51-20012-01 </t>
  </si>
  <si>
    <t xml:space="preserve">  Cu/XLPE/OS/SWA/PVC 1 x 2 x 1.5 mm2 rm 500 V</t>
  </si>
  <si>
    <t xml:space="preserve"> 51-20022-02</t>
  </si>
  <si>
    <t xml:space="preserve">  AL/XLPE/PVC (NA2XY) 1 x 35 mm2 rm 0.6/1 (1.2) kV</t>
  </si>
  <si>
    <t>22-20103-02</t>
  </si>
  <si>
    <t>22-20020-02</t>
  </si>
  <si>
    <t xml:space="preserve">  Cu/PVC/DSTA/PVC (NYBY) 4 x 1.5 mm2 re 0.6/1(1.2) kV</t>
  </si>
  <si>
    <t>21-10141-01</t>
  </si>
  <si>
    <t xml:space="preserve">  Cu/PVC/LS/SFA/PVC (N2XKFGbY) 4 x 35 mm2 rm 0.6/1 (1.2) kV</t>
  </si>
  <si>
    <t xml:space="preserve"> 21-10806-02</t>
  </si>
  <si>
    <t xml:space="preserve">  Cu/PVC/PVC (NYY) 1 x 10 mm2 rm 0.6/1(1.2)kV</t>
  </si>
  <si>
    <t>21-10190-01</t>
  </si>
  <si>
    <t>21-10021-12</t>
  </si>
  <si>
    <t>61-30001-02</t>
  </si>
  <si>
    <t xml:space="preserve">  R-VV 6 x 2 x 0.6 mm</t>
  </si>
  <si>
    <t>61-10003-01</t>
  </si>
  <si>
    <t xml:space="preserve">  T-EJ(Pem) E 10 x 2 x 0.9</t>
  </si>
  <si>
    <t>61-30006-02</t>
  </si>
  <si>
    <t xml:space="preserve">  NFA2X-T 3 x 95 + 70</t>
  </si>
  <si>
    <t xml:space="preserve">  72-20017-01</t>
  </si>
  <si>
    <t xml:space="preserve">  Cu/PVC/LS/SFA/PVC (NYKFGbY) 4 x 4 mm2 rm 0.6/1 (1.2)kV</t>
  </si>
  <si>
    <t xml:space="preserve">  21-10889-02</t>
  </si>
  <si>
    <t xml:space="preserve">  Cu/PVC/SFA/PVC (NYFGbY) 6 x 4 mm2 rm 0.6/1(1.2)kV</t>
  </si>
  <si>
    <t>21-10434-02</t>
  </si>
  <si>
    <t xml:space="preserve">  Cu/PVC/SFA/PVC (NYFGbY) 7 x 2.5 mm2 rm 0.6/1(1.2)kV</t>
  </si>
  <si>
    <t>21-10167-01</t>
  </si>
  <si>
    <t>21-10034-02</t>
  </si>
  <si>
    <t>21-10210-04</t>
  </si>
  <si>
    <t>21-10893-02</t>
  </si>
  <si>
    <t xml:space="preserve">  NYBY 4 x 2.5 mm2 re 0.6/1(1.2) kV</t>
  </si>
  <si>
    <t>21-10049-01</t>
  </si>
  <si>
    <t xml:space="preserve">  Al/XLPE/CTS/PVC (NA2XSY) 1 x 95 mm2 cm 12/20 (24) kV</t>
  </si>
  <si>
    <t xml:space="preserve">   32-20035-01</t>
  </si>
  <si>
    <t xml:space="preserve">  Cu/XLPE/CTS/DSTA/PVC (N2XSEBY) 1 x 35 mm2 cm 12/20 (24) kV</t>
  </si>
  <si>
    <t xml:space="preserve">  Cu/MT/XLPE/PVC (N2XY-FE) 1 x 10 mm2 rm 0.6/1(1.2) kV</t>
  </si>
  <si>
    <t>21-20032-01</t>
  </si>
  <si>
    <t xml:space="preserve">  N2XSEBY 3 x 35 mm2 cm  12/20 kV 12/20 (24) kV</t>
  </si>
  <si>
    <t xml:space="preserve"> 31-20047-02</t>
  </si>
  <si>
    <t xml:space="preserve">  T-EJ(Pem) E 10 x 2 x 0.9 mm</t>
  </si>
  <si>
    <t xml:space="preserve">  Cu/PVC/LS/SFA/PVC (NYKFGbY) 4 x 35 mm2 rm 0.6/1 (1.2) kV</t>
  </si>
  <si>
    <t>21-10806-02</t>
  </si>
  <si>
    <t xml:space="preserve">  Cu/PVC/LS/SFA/PVC (NYKFGbY) 4 x 4 mm2 rm 0.6/1(1.2) kV</t>
  </si>
  <si>
    <t>21-10889-02</t>
  </si>
  <si>
    <t xml:space="preserve">  Cu/PVC/SFA/PVC (NYFGbY)  7 x 2.5 mm2 rm 0.6/1(1.2)kV</t>
  </si>
  <si>
    <t xml:space="preserve">  AS Wire 70 mm2 rm </t>
  </si>
  <si>
    <t>45-00013-01</t>
  </si>
  <si>
    <t xml:space="preserve">  OPGW-24G652-2S-91 [53.6;77.1} </t>
  </si>
  <si>
    <t>45-00014-01</t>
  </si>
  <si>
    <t>11-10063-02</t>
  </si>
  <si>
    <t xml:space="preserve">  NYYHY 4 x 0.75 mm2 f 450/750 V</t>
  </si>
  <si>
    <t>11-10080-01</t>
  </si>
  <si>
    <t xml:space="preserve"> 51-20023-05</t>
  </si>
  <si>
    <t xml:space="preserve">  Al/PVC/PVC (NAYY) 1 x 400 mm2 rm 0.6/1 (1.2)kV</t>
  </si>
  <si>
    <t>22-10098-01</t>
  </si>
  <si>
    <t xml:space="preserve"> 22-20237-01</t>
  </si>
  <si>
    <t xml:space="preserve">  Al/XLPE/PVC (NA2XY) 3 x 150 + 95 mm2 sm/rm 0.6/1 (1.2) kV</t>
  </si>
  <si>
    <t xml:space="preserve">  Al/XLPE/LSZH (NA2XH) 3 x 120 + 70 mm2 sm/rm 0.6/1 (1.2) kV</t>
  </si>
  <si>
    <t xml:space="preserve"> 22-20238-01</t>
  </si>
  <si>
    <t xml:space="preserve">  22-20014-01</t>
  </si>
  <si>
    <t>21-10017-15</t>
  </si>
  <si>
    <t xml:space="preserve">  Cu/PVC/DSTA/PVC (NYBY) 4 x 0.75 mm2 re 0.6/1(1.2) kV</t>
  </si>
  <si>
    <t>21-10293-01</t>
  </si>
  <si>
    <t>21-10049-02</t>
  </si>
  <si>
    <t xml:space="preserve">  Cu/PVC/PVC (NYY) 12 x 1.5 mm2 rm 0.6/1(1.2)kV</t>
  </si>
  <si>
    <t>21-10147-01</t>
  </si>
  <si>
    <t>21-10218-01</t>
  </si>
  <si>
    <t>21-10027-02</t>
  </si>
  <si>
    <t xml:space="preserve">  NFA2X-T 3 x 95 +95</t>
  </si>
  <si>
    <t xml:space="preserve">  72-20011-01</t>
  </si>
  <si>
    <t>21-10035-02</t>
  </si>
  <si>
    <t>21-20114-05</t>
  </si>
  <si>
    <t xml:space="preserve">  Cu/XLPE/PVC (N2XY) 2 x 2.5 + 2.5 mm2 re 0.6/1(1.2) kV</t>
  </si>
  <si>
    <t>21-20003-09</t>
  </si>
  <si>
    <t xml:space="preserve">  Cu/XLPE/LS/SWA/PVC (N2XRGbY) 2 x 2.5 + 2.5 mm2 rm 0.6/1(1.2) kV </t>
  </si>
  <si>
    <t xml:space="preserve">  21-20395-09</t>
  </si>
  <si>
    <t>21-20021-02</t>
  </si>
  <si>
    <t xml:space="preserve">  N2X2YB2Y 4 x 10 mm2 rm 0.6/1 (1.2) kV</t>
  </si>
  <si>
    <t>21-21071-01</t>
  </si>
  <si>
    <t xml:space="preserve">  N2X2YB2Y 4 x 16 mm2 rm 0.6/1 (1.2) kV</t>
  </si>
  <si>
    <t>21-21072-01</t>
  </si>
  <si>
    <t xml:space="preserve">  N2X2YB2Y 4 x 6 mm2 rm 0.6/1 (1.2) kV</t>
  </si>
  <si>
    <t>21-20018-02</t>
  </si>
  <si>
    <t xml:space="preserve">  N2X2YB2Y 6 x 1.5 mm2 rm 0.6/1 (1.2) kV</t>
  </si>
  <si>
    <t>21-20133-01</t>
  </si>
  <si>
    <t xml:space="preserve">  NA2XSEFGbY 3 x 70 mm2 cm 12/20 (24) kV</t>
  </si>
  <si>
    <t xml:space="preserve"> 32-20014-01</t>
  </si>
  <si>
    <t xml:space="preserve"> 31-20010-01</t>
  </si>
  <si>
    <t xml:space="preserve">  N2XSEFGbY  3 x 240 mm2 cm 12/20 (24)kV</t>
  </si>
  <si>
    <t xml:space="preserve">  N2XSEBH 3 x 240 mm2 cm  12/20  (24) kV</t>
  </si>
  <si>
    <t xml:space="preserve"> PENGIRIMAN</t>
  </si>
  <si>
    <t>(Km)</t>
  </si>
  <si>
    <t xml:space="preserve">                                      </t>
  </si>
  <si>
    <t>11-10048-01</t>
  </si>
  <si>
    <t xml:space="preserve">  N2X2YB2Y 12 x 1.5 mm2 rm 0.6/1 (1.2) kV</t>
  </si>
  <si>
    <t>21-20020-01</t>
  </si>
  <si>
    <t xml:space="preserve">  T-EJ(Pem) E 2 x 2 x 1.5</t>
  </si>
  <si>
    <t>61-30007-01</t>
  </si>
  <si>
    <t xml:space="preserve">  Cu/XLPE/OS/PVC 2 x 2 x 1.5 mm2 rm 500 V</t>
  </si>
  <si>
    <t xml:space="preserve"> 51-20189-03</t>
  </si>
  <si>
    <t xml:space="preserve">  Cu/XLPE/OS/SWA/PVC 16 x 2 x 1.5 mm2 rm 500 V</t>
  </si>
  <si>
    <t xml:space="preserve"> 51-20028-01</t>
  </si>
  <si>
    <t xml:space="preserve"> 51-20023-03</t>
  </si>
  <si>
    <t xml:space="preserve">  Cu/XLPE/OS/PVC 2 x 2 x 2.5 mm2 rm 500 V</t>
  </si>
  <si>
    <t xml:space="preserve"> 51-20115-03</t>
  </si>
  <si>
    <t xml:space="preserve">  Cu/XLPE/OS/PVC 20 x 2 x 1.5 mm2 rm 500 V</t>
  </si>
  <si>
    <t xml:space="preserve"> 51-20032-01</t>
  </si>
  <si>
    <t xml:space="preserve">  Cu/XLPE/OS/PVC 24 x 2 x 1.5 mm2 rm 500 V</t>
  </si>
  <si>
    <t xml:space="preserve"> 51-20030-01</t>
  </si>
  <si>
    <t xml:space="preserve">  Cu/PVC/SFA/PVC (NYFGbY) 4 x 2.5 mm2 re 0.6/1(1.2)kV</t>
  </si>
  <si>
    <t>21-10221-04</t>
  </si>
  <si>
    <t xml:space="preserve">  AAAC-S 95 mm2 </t>
  </si>
  <si>
    <t>42-20013-01</t>
  </si>
  <si>
    <t>11-10010-03</t>
  </si>
  <si>
    <t>11-10033-02</t>
  </si>
  <si>
    <t>11-10049-02</t>
  </si>
  <si>
    <t>21-10787-02</t>
  </si>
  <si>
    <t>21-10323-01</t>
  </si>
  <si>
    <t>21-10010-05</t>
  </si>
  <si>
    <t>21-10043-03</t>
  </si>
  <si>
    <t>21-10098-09</t>
  </si>
  <si>
    <t>21-10022-03</t>
  </si>
  <si>
    <t xml:space="preserve">  Cu/PVC/SFA/PVC (NYFGbY) 6 x 2.5 mm2 rm 0.6/1(1.2)kV</t>
  </si>
  <si>
    <t>21-10431-01</t>
  </si>
  <si>
    <t xml:space="preserve">  Cu/PVC/SFA/PVC (NYFGbY) 60 x 1.5 mm2 rm 0.6/1(1.2)kV</t>
  </si>
  <si>
    <t>21-10917-02</t>
  </si>
  <si>
    <t xml:space="preserve">  Cu/PVC/SFA/PVC (NYFGbY) 7 x 1.5 mm2 rm 0.6/1(1.2)kV</t>
  </si>
  <si>
    <t>21-10113-01</t>
  </si>
  <si>
    <t>RATA-RATA</t>
  </si>
  <si>
    <t>Jakarta,04 Oktober 2025</t>
  </si>
  <si>
    <t>Jakarta, 04 Oktober 2025</t>
  </si>
  <si>
    <t>Jakarta, 07 Nopember 2025</t>
  </si>
  <si>
    <t>11-10076-02</t>
  </si>
  <si>
    <t>11-10080-02</t>
  </si>
  <si>
    <t xml:space="preserve">  NYYHY 5 x 2.5 mm2 f 450/750 V</t>
  </si>
  <si>
    <t>11-10055-01</t>
  </si>
  <si>
    <t>21-10052-03</t>
  </si>
  <si>
    <t>21-10307-02</t>
  </si>
  <si>
    <t>21-10334-01</t>
  </si>
  <si>
    <t xml:space="preserve">  Cu/PVC/SWA/PVC (NYRGbY) 5 x 4 mm2 re 0.6/1 (1.2)kV</t>
  </si>
  <si>
    <t>21-10306-01</t>
  </si>
  <si>
    <t xml:space="preserve">  Cu/PVC/SWA/PVC (NYRGbY) 5 x 6 mm2 re 0.6/1 (1.2)kV</t>
  </si>
  <si>
    <t>21-10289-01</t>
  </si>
  <si>
    <t>21-10172-01</t>
  </si>
  <si>
    <t>21-10173-01</t>
  </si>
  <si>
    <t>21-10217-01</t>
  </si>
  <si>
    <t xml:space="preserve">  Cu/PVC/PVC (NYY) 3 x 300 mm2 rm 0.6/1 (1.2)kV</t>
  </si>
  <si>
    <t>21-10246-01</t>
  </si>
  <si>
    <t xml:space="preserve"> 21-10230-01</t>
  </si>
  <si>
    <t>21-10097-04</t>
  </si>
  <si>
    <t>21-10253-03</t>
  </si>
  <si>
    <t>21-10270-03</t>
  </si>
  <si>
    <t xml:space="preserve">  NYYHY 4 x 50 mm2 f 450/750 V</t>
  </si>
  <si>
    <t xml:space="preserve"> 21-10716-01</t>
  </si>
  <si>
    <t xml:space="preserve">  Cu/XLPE/CTS/DSTA/PVC (N2XSEBY) 3 x 240 mm2 cm 12/20 (24) kV</t>
  </si>
  <si>
    <t xml:space="preserve"> 31-20048-02</t>
  </si>
  <si>
    <t xml:space="preserve">  Cu/XLPE/CTS/SFA/PVC (N2XSEFGbY) 3 x 120 mm2 cm 6/10 (12) kV</t>
  </si>
  <si>
    <t xml:space="preserve">  Cu/XLPE/CTS/SFA/PVC (N2XSEFGbY) 3 x 240 mm2 cm 8.7/15 (17.5) kV</t>
  </si>
  <si>
    <t xml:space="preserve"> 31-20277-01</t>
  </si>
  <si>
    <t xml:space="preserve">  Cu/XLPE/CTS/SFA/PVC (N2XSEFGbY) 3 x 25 mm2 cm 6/10 (12) kV</t>
  </si>
  <si>
    <t xml:space="preserve"> 31-20134-01</t>
  </si>
  <si>
    <t xml:space="preserve">  Cu/XLPE/CTS/SFA/PVC (N2XSEFGbY) 3 x 35 mm2 cm 6/10 (12) kV</t>
  </si>
  <si>
    <t xml:space="preserve">  32-20006-06</t>
  </si>
  <si>
    <t xml:space="preserve">   NA2XSY 1 x 630 mm2 cm 12/20 (24) kV</t>
  </si>
  <si>
    <t>32-20121-01</t>
  </si>
  <si>
    <t xml:space="preserve"> 91-20466-01</t>
  </si>
  <si>
    <t xml:space="preserve"> 91-20444-01</t>
  </si>
  <si>
    <t xml:space="preserve">  Cu/MT/XLPE/IS/OS/LSZH/SWA/LSZH 10 x 2 x 1.5 mm2 rm 600 V</t>
  </si>
  <si>
    <t xml:space="preserve">  Cu/MT/XLPE/IS/OS/LSZH/SWA/LSZH 20 x 3 x 1.5 mm2 rm 600 V</t>
  </si>
  <si>
    <t xml:space="preserve">  Cu/MT/XLPE/OS/LSZH/SWA/LSZH 1 x 2 x 1.5 mm2 rm 600 V</t>
  </si>
  <si>
    <t xml:space="preserve">  Cu/MT/XLPE/OS/LSZH/SWA/LSZH 1 x 2 x 2.5 mm2 rm 600 V</t>
  </si>
  <si>
    <t xml:space="preserve"> 91-20021-02</t>
  </si>
  <si>
    <t xml:space="preserve"> 91-20020-03</t>
  </si>
  <si>
    <t xml:space="preserve">  Cu/MT/XLPE/OS/LSZH/SWA/LSZH 1 x 3 x 1.5 mm2 rm 600 V</t>
  </si>
  <si>
    <t xml:space="preserve"> 91-20040-02</t>
  </si>
  <si>
    <t xml:space="preserve">  Cu/MT/XLPE/OS/LSZH/SWA/LSZH 10 x 2 x 2.5 mm2 rm 600 V</t>
  </si>
  <si>
    <t xml:space="preserve"> 91-20442-01</t>
  </si>
  <si>
    <t xml:space="preserve">  Cu/MT/XLPE/OS/LSZH/SWA/LSZH 2 x 2 x 2.5 mm2 rm 600 V</t>
  </si>
  <si>
    <t xml:space="preserve"> 91-20076-02</t>
  </si>
  <si>
    <t xml:space="preserve">  Cu/MT/XLPE/OS/LSZH/SWA/LSZH 20 x 2 x 2.5 mm2 rm 600 V</t>
  </si>
  <si>
    <t xml:space="preserve"> 91-20443-01</t>
  </si>
  <si>
    <t>11-10052-04</t>
  </si>
  <si>
    <t>11-10052-05</t>
  </si>
  <si>
    <t>11-10019-01</t>
  </si>
  <si>
    <t>11-10019-02</t>
  </si>
  <si>
    <t>11-10019-03</t>
  </si>
  <si>
    <t>11-10019-04</t>
  </si>
  <si>
    <t xml:space="preserve">  NYMHY 3 x 4 mm2 f 300/500 V</t>
  </si>
  <si>
    <t>11-10116-02</t>
  </si>
  <si>
    <t>11-10041-03</t>
  </si>
  <si>
    <t>11-10080-03</t>
  </si>
  <si>
    <t xml:space="preserve">  Al/XLPE/SWA/PVC (NA2XFGbY) 4 x 95 mm2 sm 0.6/1 (1.2) kV</t>
  </si>
  <si>
    <t xml:space="preserve">  Al/XLPE/SFA/PVC (NA2XRY) 3 x 300 + 150 mm2 sm 0.6/1 (1.2) kV</t>
  </si>
  <si>
    <t xml:space="preserve">  22-20255-02</t>
  </si>
  <si>
    <t xml:space="preserve">  Cu/PVC/CWS/PVC (NYCY) 19 x 2.5/6 mm2 rm 0.6/1(1.2) kV</t>
  </si>
  <si>
    <t>21-10355-01</t>
  </si>
  <si>
    <t>21-10192-03</t>
  </si>
  <si>
    <t>21-10072-10</t>
  </si>
  <si>
    <t xml:space="preserve">  Cu/PVC/PVC (NYY) 7 x 1.5 mm2 re 0.6/1(1.2)kV</t>
  </si>
  <si>
    <t>21-10146-01</t>
  </si>
  <si>
    <t xml:space="preserve">  Cu/PVC/SFA/PVC (NYFGbY) 10 x 1.5 mm2 rm 0.6/1(1.2)kV</t>
  </si>
  <si>
    <t>21-10195-02</t>
  </si>
  <si>
    <t xml:space="preserve">  Cu/PVC/SFA/PVC (NYFGbY) 30 x 1.5 mm2 rm 0.6/1(1.2)kV</t>
  </si>
  <si>
    <t>21-10033-01</t>
  </si>
  <si>
    <t xml:space="preserve">  Cu/PVC/SFA/PVC (NYFGbY) 5 x 10 mm2 rm 0.6/1(1.2)kV</t>
  </si>
  <si>
    <t>21-10653-01</t>
  </si>
  <si>
    <t>21-10034-01</t>
  </si>
  <si>
    <t>21-10251-03</t>
  </si>
  <si>
    <t>21-10216-03</t>
  </si>
  <si>
    <t xml:space="preserve">  Cu/XLPE/LSZH (N2XH) 4 x 300 mm2 rm 0.6/1(1.2)kV</t>
  </si>
  <si>
    <t>21-20965-02</t>
  </si>
  <si>
    <t xml:space="preserve">  Cu/XLPE/PVC (N2XY) 1 x 95 mm2 cm 0.6/1 (1.2)kV</t>
  </si>
  <si>
    <t>21-20177-01</t>
  </si>
  <si>
    <t xml:space="preserve">  Cu/XLPE/SWA/PVC (N2XRGbY) 3 x 6 mm2 rm 0.6/1 (1.2)kV</t>
  </si>
  <si>
    <t xml:space="preserve">  21-20052-05</t>
  </si>
  <si>
    <t xml:space="preserve">  Cu/XLPE/SWA/PVC (N2XRGBY) 5 X 16  mm2 rm 0.6/1 (1.2) kv</t>
  </si>
  <si>
    <t xml:space="preserve">  21-20044-02</t>
  </si>
  <si>
    <t xml:space="preserve">   Al/XLPE/CTS/PVC (NA2XSY) 1 x 300 mm2 cm 12/20 (24) kV</t>
  </si>
  <si>
    <t>32-20001-01</t>
  </si>
  <si>
    <t xml:space="preserve">  N2XSEBY 3 x 185 mm2 cm  12/20 kV 12/20 (24) kV</t>
  </si>
  <si>
    <t xml:space="preserve"> 31-20057-02</t>
  </si>
  <si>
    <t xml:space="preserve"> 31-20048-03</t>
  </si>
  <si>
    <t xml:space="preserve">  32-20006-01</t>
  </si>
  <si>
    <t xml:space="preserve">  CU/XLPE/LSZH (N2XH-FE) 1 x 70 mm2 rm 0.6/1 (1.2)kV</t>
  </si>
  <si>
    <t>91-20358-01</t>
  </si>
  <si>
    <t xml:space="preserve">  CU/XLPE/LSZH (N2XH-FE) 1 x 95 mm2 rm 0.6/1 (1.2)kV</t>
  </si>
  <si>
    <t>91-20357-01</t>
  </si>
  <si>
    <t xml:space="preserve">  Cu/MT/XLPE/LSZH (N2XH-FE) 4 x 10 mm2 rm 0.6/1 (1.2) kV</t>
  </si>
  <si>
    <t>91-20029-01</t>
  </si>
  <si>
    <t xml:space="preserve">  Cu/MT/XLPE/LSZH (N2XH-FE) 4 x 4 mm2 rm 0.6/1 (1.2) kV</t>
  </si>
  <si>
    <t>91-20235-02</t>
  </si>
  <si>
    <t xml:space="preserve">  Cu/MT/XLPE/PVC (N2XY-FE) 4 x 10 mm2 rm 0.6/1(1.2) kV</t>
  </si>
  <si>
    <t>91-20035-01</t>
  </si>
  <si>
    <t xml:space="preserve">  Cu/MT/XLPE/LSZH (N2XH-FE) 4 x 16 mm2 rm 0.6/1(1.2)kV</t>
  </si>
  <si>
    <t>91-20234-02</t>
  </si>
  <si>
    <t xml:space="preserve">  Cu/MT/XLPE/LSZH (N2XH-FE) 4 x 25 mm2 rm 0.6/1(1.2)kV</t>
  </si>
  <si>
    <t>91-20233-02</t>
  </si>
  <si>
    <t xml:space="preserve">  T-EJ(Pem) E 2q x 0.9 mm</t>
  </si>
  <si>
    <t>61-30009-01</t>
  </si>
  <si>
    <t>DESEMBER 2025</t>
  </si>
  <si>
    <t>11-10015-03</t>
  </si>
  <si>
    <t>11-10043-05</t>
  </si>
  <si>
    <t>11-10049-03</t>
  </si>
  <si>
    <t>11-10076-03</t>
  </si>
  <si>
    <t xml:space="preserve">  NYYHY 5 x 4 mm2 f 450/750 V</t>
  </si>
  <si>
    <t>11-10140-01</t>
  </si>
  <si>
    <t>21-10131-02</t>
  </si>
  <si>
    <t>21-10123-02</t>
  </si>
  <si>
    <t>21-10126-02</t>
  </si>
  <si>
    <t>21-21735-01</t>
  </si>
  <si>
    <t>21-20078-01</t>
  </si>
  <si>
    <t xml:space="preserve">  Cu/XLPE/PVC (N2XY) 3 x 150 mm2 cm 0.6/1 (1.2)kV</t>
  </si>
  <si>
    <t>21-20470-02</t>
  </si>
  <si>
    <t xml:space="preserve">  NA2XSEYBY  12/20 kV 3  x 95 mm2 cm/25 12/20 kV</t>
  </si>
  <si>
    <t xml:space="preserve">  32-20167-01</t>
  </si>
  <si>
    <t xml:space="preserve">  72-20001-01</t>
  </si>
  <si>
    <t xml:space="preserve">  NFA2X 4 x 10 mm2 rm 0.6/1 (1.2)kV</t>
  </si>
  <si>
    <t xml:space="preserve">  72-20003-01</t>
  </si>
  <si>
    <t>JANUARI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</si>
</sst>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4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12"/>
      <color indexed="8"/>
      <name val="Calibri"/>
      <family val="2"/>
    </font>
    <font>
      <b/>
      <sz val="14"/>
      <color indexed="8"/>
      <name val="Segoe UI"/>
      <family val="2"/>
    </font>
    <font>
      <b/>
      <sz val="10"/>
      <color indexed="8"/>
      <name val="Segoe U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8"/>
      <name val="Calibri"/>
      <family val="2"/>
    </font>
    <font>
      <b/>
      <sz val="18"/>
      <color indexed="56"/>
      <name val="Calibri"/>
      <family val="2"/>
    </font>
    <font>
      <b/>
      <sz val="16"/>
      <color indexed="10"/>
      <name val="Calibri"/>
      <family val="2"/>
    </font>
    <font>
      <b/>
      <sz val="22"/>
      <color indexed="56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Segoe "/>
    </font>
    <font>
      <b/>
      <sz val="9"/>
      <name val="Segoe 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10"/>
      <name val="Arial"/>
      <family val="2"/>
    </font>
    <font>
      <b/>
      <sz val="8"/>
      <name val="Segoe "/>
    </font>
    <font>
      <b/>
      <sz val="9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18"/>
      <color indexed="8"/>
      <name val="Calibri"/>
      <family val="2"/>
    </font>
    <font>
      <b/>
      <sz val="12"/>
      <color indexed="8"/>
      <name val="Segoe UI"/>
      <family val="2"/>
    </font>
    <font>
      <b/>
      <sz val="14"/>
      <color indexed="8"/>
      <name val="Calibri"/>
      <family val="2"/>
    </font>
    <font>
      <b/>
      <sz val="11"/>
      <color theme="2"/>
      <name val="Segoe "/>
    </font>
    <font>
      <b/>
      <sz val="11"/>
      <color theme="9" tint="0.59999389629810485"/>
      <name val="Segoe "/>
    </font>
    <font>
      <b/>
      <sz val="11"/>
      <color indexed="8"/>
      <name val="Segoe UI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b/>
      <sz val="18"/>
      <color rgb="FFFF0000"/>
      <name val="Arial"/>
      <family val="2"/>
    </font>
    <font>
      <b/>
      <sz val="18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theme="1"/>
      </top>
      <bottom style="medium">
        <color auto="1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theme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35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top"/>
    </xf>
    <xf numFmtId="0" fontId="8" fillId="2" borderId="12" xfId="0" applyFont="1" applyFill="1" applyBorder="1" applyAlignment="1">
      <alignment horizontal="center" vertical="top"/>
    </xf>
    <xf numFmtId="164" fontId="8" fillId="2" borderId="12" xfId="0" applyNumberFormat="1" applyFont="1" applyFill="1" applyBorder="1" applyAlignment="1">
      <alignment horizontal="center"/>
    </xf>
    <xf numFmtId="164" fontId="8" fillId="2" borderId="15" xfId="0" applyNumberFormat="1" applyFont="1" applyFill="1" applyBorder="1" applyAlignment="1">
      <alignment horizontal="center"/>
    </xf>
    <xf numFmtId="164" fontId="8" fillId="2" borderId="1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43" fontId="9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top"/>
    </xf>
    <xf numFmtId="0" fontId="2" fillId="0" borderId="0" xfId="0" applyFont="1"/>
    <xf numFmtId="0" fontId="7" fillId="0" borderId="0" xfId="0" applyFont="1"/>
    <xf numFmtId="43" fontId="2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3" fontId="9" fillId="0" borderId="0" xfId="0" applyNumberFormat="1" applyFont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/>
    </xf>
    <xf numFmtId="4" fontId="13" fillId="0" borderId="0" xfId="0" applyNumberFormat="1" applyFont="1" applyAlignment="1">
      <alignment vertical="center"/>
    </xf>
    <xf numFmtId="43" fontId="9" fillId="6" borderId="35" xfId="0" applyNumberFormat="1" applyFont="1" applyFill="1" applyBorder="1" applyAlignment="1">
      <alignment vertical="center"/>
    </xf>
    <xf numFmtId="17" fontId="15" fillId="0" borderId="0" xfId="0" quotePrefix="1" applyNumberFormat="1" applyFont="1" applyAlignment="1">
      <alignment horizontal="center"/>
    </xf>
    <xf numFmtId="164" fontId="5" fillId="0" borderId="0" xfId="0" applyNumberFormat="1" applyFont="1" applyAlignment="1">
      <alignment vertical="center"/>
    </xf>
    <xf numFmtId="0" fontId="4" fillId="7" borderId="32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43" fontId="9" fillId="4" borderId="39" xfId="0" applyNumberFormat="1" applyFont="1" applyFill="1" applyBorder="1" applyAlignment="1">
      <alignment vertical="center"/>
    </xf>
    <xf numFmtId="0" fontId="3" fillId="3" borderId="39" xfId="0" applyFont="1" applyFill="1" applyBorder="1" applyAlignment="1">
      <alignment vertical="center"/>
    </xf>
    <xf numFmtId="165" fontId="3" fillId="3" borderId="19" xfId="0" applyNumberFormat="1" applyFont="1" applyFill="1" applyBorder="1" applyAlignment="1">
      <alignment vertical="center"/>
    </xf>
    <xf numFmtId="0" fontId="3" fillId="3" borderId="37" xfId="0" applyFont="1" applyFill="1" applyBorder="1" applyAlignment="1">
      <alignment vertical="center"/>
    </xf>
    <xf numFmtId="43" fontId="9" fillId="2" borderId="39" xfId="0" applyNumberFormat="1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top"/>
    </xf>
    <xf numFmtId="0" fontId="8" fillId="2" borderId="8" xfId="0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top"/>
    </xf>
    <xf numFmtId="164" fontId="8" fillId="2" borderId="6" xfId="0" applyNumberFormat="1" applyFont="1" applyFill="1" applyBorder="1" applyAlignment="1">
      <alignment horizontal="center"/>
    </xf>
    <xf numFmtId="164" fontId="8" fillId="2" borderId="9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43" fontId="9" fillId="8" borderId="39" xfId="0" applyNumberFormat="1" applyFont="1" applyFill="1" applyBorder="1" applyAlignment="1">
      <alignment vertical="center"/>
    </xf>
    <xf numFmtId="43" fontId="9" fillId="5" borderId="39" xfId="0" applyNumberFormat="1" applyFont="1" applyFill="1" applyBorder="1" applyAlignment="1">
      <alignment vertical="center"/>
    </xf>
    <xf numFmtId="0" fontId="2" fillId="0" borderId="36" xfId="0" applyFont="1" applyBorder="1"/>
    <xf numFmtId="43" fontId="2" fillId="0" borderId="36" xfId="0" applyNumberFormat="1" applyFont="1" applyBorder="1"/>
    <xf numFmtId="43" fontId="1" fillId="0" borderId="36" xfId="0" applyNumberFormat="1" applyFont="1" applyBorder="1"/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43" fontId="0" fillId="0" borderId="0" xfId="0" applyNumberFormat="1"/>
    <xf numFmtId="0" fontId="24" fillId="7" borderId="61" xfId="0" applyFont="1" applyFill="1" applyBorder="1" applyAlignment="1">
      <alignment horizontal="center" vertical="top"/>
    </xf>
    <xf numFmtId="0" fontId="23" fillId="7" borderId="62" xfId="0" applyFont="1" applyFill="1" applyBorder="1" applyAlignment="1">
      <alignment horizontal="center" vertical="center"/>
    </xf>
    <xf numFmtId="0" fontId="23" fillId="7" borderId="63" xfId="0" applyFont="1" applyFill="1" applyBorder="1" applyAlignment="1">
      <alignment horizontal="center" vertical="center"/>
    </xf>
    <xf numFmtId="0" fontId="23" fillId="7" borderId="64" xfId="0" applyFont="1" applyFill="1" applyBorder="1" applyAlignment="1">
      <alignment horizontal="center" vertical="center"/>
    </xf>
    <xf numFmtId="0" fontId="23" fillId="7" borderId="65" xfId="0" applyFont="1" applyFill="1" applyBorder="1" applyAlignment="1">
      <alignment horizontal="center" vertical="center"/>
    </xf>
    <xf numFmtId="0" fontId="23" fillId="7" borderId="66" xfId="0" applyFont="1" applyFill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37" fontId="23" fillId="0" borderId="68" xfId="1" applyNumberFormat="1" applyFont="1" applyBorder="1" applyAlignment="1" applyProtection="1">
      <alignment horizontal="center" vertical="center"/>
      <protection locked="0"/>
    </xf>
    <xf numFmtId="0" fontId="23" fillId="0" borderId="75" xfId="0" applyFont="1" applyBorder="1" applyAlignment="1">
      <alignment horizontal="center" vertical="center"/>
    </xf>
    <xf numFmtId="37" fontId="23" fillId="0" borderId="76" xfId="1" applyNumberFormat="1" applyFont="1" applyBorder="1" applyAlignment="1" applyProtection="1">
      <alignment horizontal="center" vertical="center"/>
      <protection locked="0"/>
    </xf>
    <xf numFmtId="0" fontId="23" fillId="0" borderId="80" xfId="0" applyFont="1" applyBorder="1" applyAlignment="1">
      <alignment horizontal="center" vertical="center"/>
    </xf>
    <xf numFmtId="37" fontId="23" fillId="0" borderId="81" xfId="1" applyNumberFormat="1" applyFont="1" applyBorder="1" applyAlignment="1" applyProtection="1">
      <alignment horizontal="center" vertical="center"/>
      <protection locked="0"/>
    </xf>
    <xf numFmtId="0" fontId="23" fillId="7" borderId="85" xfId="0" applyFont="1" applyFill="1" applyBorder="1" applyAlignment="1">
      <alignment horizontal="center" vertical="center"/>
    </xf>
    <xf numFmtId="4" fontId="23" fillId="7" borderId="86" xfId="1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39" xfId="0" applyFont="1" applyBorder="1" applyAlignment="1">
      <alignment vertical="center"/>
    </xf>
    <xf numFmtId="43" fontId="7" fillId="0" borderId="39" xfId="0" applyNumberFormat="1" applyFont="1" applyBorder="1" applyAlignment="1">
      <alignment vertical="center"/>
    </xf>
    <xf numFmtId="43" fontId="27" fillId="0" borderId="39" xfId="0" applyNumberFormat="1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43" fontId="27" fillId="2" borderId="39" xfId="0" applyNumberFormat="1" applyFont="1" applyFill="1" applyBorder="1" applyAlignment="1">
      <alignment vertical="center"/>
    </xf>
    <xf numFmtId="43" fontId="27" fillId="4" borderId="39" xfId="0" applyNumberFormat="1" applyFont="1" applyFill="1" applyBorder="1" applyAlignment="1">
      <alignment vertical="center"/>
    </xf>
    <xf numFmtId="0" fontId="29" fillId="3" borderId="39" xfId="0" applyFont="1" applyFill="1" applyBorder="1" applyAlignment="1">
      <alignment vertical="center"/>
    </xf>
    <xf numFmtId="164" fontId="8" fillId="2" borderId="12" xfId="0" applyNumberFormat="1" applyFont="1" applyFill="1" applyBorder="1" applyAlignment="1">
      <alignment horizontal="center" vertical="top"/>
    </xf>
    <xf numFmtId="164" fontId="8" fillId="2" borderId="15" xfId="0" applyNumberFormat="1" applyFont="1" applyFill="1" applyBorder="1" applyAlignment="1">
      <alignment horizontal="center" vertical="top"/>
    </xf>
    <xf numFmtId="164" fontId="8" fillId="2" borderId="16" xfId="0" applyNumberFormat="1" applyFont="1" applyFill="1" applyBorder="1" applyAlignment="1">
      <alignment horizontal="center" vertical="top"/>
    </xf>
    <xf numFmtId="164" fontId="8" fillId="2" borderId="6" xfId="0" applyNumberFormat="1" applyFont="1" applyFill="1" applyBorder="1" applyAlignment="1">
      <alignment horizontal="center" vertical="top"/>
    </xf>
    <xf numFmtId="164" fontId="8" fillId="2" borderId="9" xfId="0" applyNumberFormat="1" applyFont="1" applyFill="1" applyBorder="1" applyAlignment="1">
      <alignment horizontal="center" vertical="top"/>
    </xf>
    <xf numFmtId="164" fontId="8" fillId="2" borderId="10" xfId="0" applyNumberFormat="1" applyFont="1" applyFill="1" applyBorder="1" applyAlignment="1">
      <alignment horizontal="center" vertical="top"/>
    </xf>
    <xf numFmtId="0" fontId="23" fillId="0" borderId="91" xfId="0" applyFont="1" applyBorder="1" applyAlignment="1">
      <alignment horizontal="center" vertical="center"/>
    </xf>
    <xf numFmtId="37" fontId="23" fillId="0" borderId="92" xfId="1" applyNumberFormat="1" applyFont="1" applyBorder="1" applyAlignment="1" applyProtection="1">
      <alignment horizontal="center" vertical="center"/>
      <protection locked="0"/>
    </xf>
    <xf numFmtId="0" fontId="7" fillId="0" borderId="96" xfId="0" applyFont="1" applyBorder="1" applyAlignment="1">
      <alignment vertical="center"/>
    </xf>
    <xf numFmtId="43" fontId="7" fillId="0" borderId="96" xfId="0" applyNumberFormat="1" applyFont="1" applyBorder="1" applyAlignment="1">
      <alignment vertical="center"/>
    </xf>
    <xf numFmtId="43" fontId="27" fillId="0" borderId="96" xfId="0" applyNumberFormat="1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43" fontId="7" fillId="0" borderId="44" xfId="0" applyNumberFormat="1" applyFont="1" applyBorder="1" applyAlignment="1">
      <alignment vertical="center"/>
    </xf>
    <xf numFmtId="43" fontId="27" fillId="0" borderId="44" xfId="0" applyNumberFormat="1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43" fontId="7" fillId="0" borderId="52" xfId="0" applyNumberFormat="1" applyFont="1" applyBorder="1" applyAlignment="1">
      <alignment vertical="center"/>
    </xf>
    <xf numFmtId="43" fontId="27" fillId="0" borderId="52" xfId="0" applyNumberFormat="1" applyFont="1" applyBorder="1" applyAlignment="1">
      <alignment vertical="center"/>
    </xf>
    <xf numFmtId="164" fontId="7" fillId="0" borderId="96" xfId="0" applyNumberFormat="1" applyFont="1" applyBorder="1" applyAlignment="1">
      <alignment vertical="center"/>
    </xf>
    <xf numFmtId="164" fontId="7" fillId="0" borderId="52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43" fontId="7" fillId="0" borderId="9" xfId="0" applyNumberFormat="1" applyFont="1" applyBorder="1" applyAlignment="1">
      <alignment vertical="center"/>
    </xf>
    <xf numFmtId="43" fontId="27" fillId="0" borderId="9" xfId="0" applyNumberFormat="1" applyFont="1" applyBorder="1" applyAlignment="1">
      <alignment vertical="center"/>
    </xf>
    <xf numFmtId="0" fontId="3" fillId="3" borderId="52" xfId="0" applyFont="1" applyFill="1" applyBorder="1" applyAlignment="1">
      <alignment vertical="center"/>
    </xf>
    <xf numFmtId="0" fontId="28" fillId="0" borderId="96" xfId="0" applyFont="1" applyBorder="1" applyAlignment="1">
      <alignment vertical="center"/>
    </xf>
    <xf numFmtId="165" fontId="3" fillId="3" borderId="52" xfId="0" applyNumberFormat="1" applyFont="1" applyFill="1" applyBorder="1" applyAlignment="1">
      <alignment vertical="center"/>
    </xf>
    <xf numFmtId="165" fontId="7" fillId="0" borderId="44" xfId="0" applyNumberFormat="1" applyFont="1" applyBorder="1" applyAlignment="1">
      <alignment vertical="center"/>
    </xf>
    <xf numFmtId="164" fontId="7" fillId="0" borderId="52" xfId="0" quotePrefix="1" applyNumberFormat="1" applyFont="1" applyBorder="1" applyAlignment="1">
      <alignment vertical="center"/>
    </xf>
    <xf numFmtId="164" fontId="7" fillId="0" borderId="96" xfId="0" quotePrefix="1" applyNumberFormat="1" applyFont="1" applyBorder="1" applyAlignment="1">
      <alignment vertical="center"/>
    </xf>
    <xf numFmtId="165" fontId="27" fillId="0" borderId="96" xfId="0" applyNumberFormat="1" applyFont="1" applyBorder="1" applyAlignment="1">
      <alignment vertical="center"/>
    </xf>
    <xf numFmtId="43" fontId="28" fillId="0" borderId="96" xfId="0" applyNumberFormat="1" applyFont="1" applyBorder="1" applyAlignment="1">
      <alignment vertical="center"/>
    </xf>
    <xf numFmtId="43" fontId="30" fillId="0" borderId="96" xfId="0" applyNumberFormat="1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3" fillId="0" borderId="52" xfId="0" applyFont="1" applyBorder="1" applyAlignment="1">
      <alignment vertical="center"/>
    </xf>
    <xf numFmtId="0" fontId="11" fillId="0" borderId="99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/>
    </xf>
    <xf numFmtId="0" fontId="29" fillId="0" borderId="39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43" fontId="2" fillId="0" borderId="52" xfId="0" applyNumberFormat="1" applyFont="1" applyBorder="1" applyAlignment="1">
      <alignment vertical="center"/>
    </xf>
    <xf numFmtId="43" fontId="9" fillId="0" borderId="52" xfId="0" applyNumberFormat="1" applyFont="1" applyBorder="1" applyAlignment="1">
      <alignment vertical="center"/>
    </xf>
    <xf numFmtId="0" fontId="2" fillId="0" borderId="96" xfId="0" applyFont="1" applyBorder="1" applyAlignment="1">
      <alignment vertical="center"/>
    </xf>
    <xf numFmtId="43" fontId="2" fillId="0" borderId="96" xfId="0" applyNumberFormat="1" applyFont="1" applyBorder="1" applyAlignment="1">
      <alignment vertical="center"/>
    </xf>
    <xf numFmtId="43" fontId="9" fillId="0" borderId="96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3" fontId="2" fillId="0" borderId="9" xfId="0" applyNumberFormat="1" applyFont="1" applyBorder="1" applyAlignment="1">
      <alignment vertical="center"/>
    </xf>
    <xf numFmtId="43" fontId="9" fillId="0" borderId="9" xfId="0" applyNumberFormat="1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43" fontId="2" fillId="0" borderId="44" xfId="0" applyNumberFormat="1" applyFont="1" applyBorder="1" applyAlignment="1">
      <alignment vertical="center"/>
    </xf>
    <xf numFmtId="43" fontId="9" fillId="0" borderId="44" xfId="0" applyNumberFormat="1" applyFont="1" applyBorder="1" applyAlignment="1">
      <alignment vertical="center"/>
    </xf>
    <xf numFmtId="164" fontId="2" fillId="0" borderId="96" xfId="0" applyNumberFormat="1" applyFont="1" applyBorder="1" applyAlignment="1">
      <alignment vertical="center"/>
    </xf>
    <xf numFmtId="164" fontId="2" fillId="0" borderId="52" xfId="0" applyNumberFormat="1" applyFont="1" applyBorder="1" applyAlignment="1">
      <alignment vertical="center"/>
    </xf>
    <xf numFmtId="164" fontId="2" fillId="0" borderId="9" xfId="0" applyNumberFormat="1" applyFont="1" applyBorder="1" applyAlignment="1">
      <alignment vertical="center"/>
    </xf>
    <xf numFmtId="164" fontId="2" fillId="0" borderId="44" xfId="0" applyNumberFormat="1" applyFont="1" applyBorder="1" applyAlignment="1">
      <alignment vertical="center"/>
    </xf>
    <xf numFmtId="0" fontId="10" fillId="0" borderId="9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43" fontId="2" fillId="0" borderId="39" xfId="0" applyNumberFormat="1" applyFont="1" applyBorder="1" applyAlignment="1">
      <alignment vertical="center"/>
    </xf>
    <xf numFmtId="43" fontId="9" fillId="0" borderId="39" xfId="0" applyNumberFormat="1" applyFont="1" applyBorder="1" applyAlignment="1">
      <alignment vertical="center"/>
    </xf>
    <xf numFmtId="164" fontId="2" fillId="0" borderId="52" xfId="0" quotePrefix="1" applyNumberFormat="1" applyFont="1" applyBorder="1" applyAlignment="1">
      <alignment vertical="center"/>
    </xf>
    <xf numFmtId="164" fontId="2" fillId="0" borderId="96" xfId="0" quotePrefix="1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10" fillId="0" borderId="96" xfId="0" applyNumberFormat="1" applyFont="1" applyBorder="1" applyAlignment="1">
      <alignment vertical="center"/>
    </xf>
    <xf numFmtId="43" fontId="32" fillId="0" borderId="96" xfId="0" applyNumberFormat="1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43" fontId="9" fillId="4" borderId="52" xfId="0" applyNumberFormat="1" applyFont="1" applyFill="1" applyBorder="1" applyAlignment="1">
      <alignment vertical="center"/>
    </xf>
    <xf numFmtId="0" fontId="3" fillId="3" borderId="44" xfId="0" applyFont="1" applyFill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43" fontId="9" fillId="0" borderId="19" xfId="0" applyNumberFormat="1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43" fontId="9" fillId="0" borderId="36" xfId="0" applyNumberFormat="1" applyFont="1" applyBorder="1" applyAlignment="1">
      <alignment vertical="center"/>
    </xf>
    <xf numFmtId="0" fontId="11" fillId="0" borderId="4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8" fillId="7" borderId="53" xfId="0" applyNumberFormat="1" applyFont="1" applyFill="1" applyBorder="1" applyAlignment="1">
      <alignment horizontal="center"/>
    </xf>
    <xf numFmtId="164" fontId="8" fillId="7" borderId="12" xfId="0" applyNumberFormat="1" applyFont="1" applyFill="1" applyBorder="1" applyAlignment="1">
      <alignment horizontal="center" vertical="top"/>
    </xf>
    <xf numFmtId="164" fontId="8" fillId="7" borderId="109" xfId="0" applyNumberFormat="1" applyFont="1" applyFill="1" applyBorder="1" applyAlignment="1">
      <alignment horizontal="center"/>
    </xf>
    <xf numFmtId="164" fontId="8" fillId="7" borderId="16" xfId="0" applyNumberFormat="1" applyFont="1" applyFill="1" applyBorder="1" applyAlignment="1">
      <alignment horizontal="center" vertical="top"/>
    </xf>
    <xf numFmtId="164" fontId="8" fillId="7" borderId="52" xfId="0" applyNumberFormat="1" applyFont="1" applyFill="1" applyBorder="1" applyAlignment="1">
      <alignment horizontal="center"/>
    </xf>
    <xf numFmtId="164" fontId="8" fillId="7" borderId="15" xfId="0" applyNumberFormat="1" applyFont="1" applyFill="1" applyBorder="1" applyAlignment="1">
      <alignment horizontal="center" vertical="top"/>
    </xf>
    <xf numFmtId="0" fontId="11" fillId="7" borderId="14" xfId="0" applyFont="1" applyFill="1" applyBorder="1" applyAlignment="1">
      <alignment horizontal="center" vertical="center"/>
    </xf>
    <xf numFmtId="164" fontId="2" fillId="7" borderId="15" xfId="0" applyNumberFormat="1" applyFont="1" applyFill="1" applyBorder="1" applyAlignment="1">
      <alignment horizontal="center" vertical="top"/>
    </xf>
    <xf numFmtId="164" fontId="2" fillId="7" borderId="16" xfId="0" applyNumberFormat="1" applyFont="1" applyFill="1" applyBorder="1" applyAlignment="1">
      <alignment horizontal="center" vertical="top"/>
    </xf>
    <xf numFmtId="164" fontId="2" fillId="7" borderId="52" xfId="0" applyNumberFormat="1" applyFont="1" applyFill="1" applyBorder="1" applyAlignment="1">
      <alignment horizontal="center"/>
    </xf>
    <xf numFmtId="164" fontId="2" fillId="7" borderId="109" xfId="0" applyNumberFormat="1" applyFont="1" applyFill="1" applyBorder="1" applyAlignment="1">
      <alignment horizontal="center"/>
    </xf>
    <xf numFmtId="164" fontId="2" fillId="7" borderId="104" xfId="0" applyNumberFormat="1" applyFont="1" applyFill="1" applyBorder="1" applyAlignment="1">
      <alignment horizontal="center"/>
    </xf>
    <xf numFmtId="164" fontId="2" fillId="7" borderId="13" xfId="0" applyNumberFormat="1" applyFont="1" applyFill="1" applyBorder="1" applyAlignment="1">
      <alignment horizontal="center" vertical="top"/>
    </xf>
    <xf numFmtId="0" fontId="29" fillId="3" borderId="52" xfId="0" applyFont="1" applyFill="1" applyBorder="1" applyAlignment="1">
      <alignment vertical="center"/>
    </xf>
    <xf numFmtId="165" fontId="29" fillId="3" borderId="52" xfId="0" applyNumberFormat="1" applyFont="1" applyFill="1" applyBorder="1" applyAlignment="1">
      <alignment vertical="center"/>
    </xf>
    <xf numFmtId="0" fontId="3" fillId="3" borderId="111" xfId="0" applyFont="1" applyFill="1" applyBorder="1" applyAlignment="1">
      <alignment vertical="center"/>
    </xf>
    <xf numFmtId="164" fontId="7" fillId="0" borderId="9" xfId="0" quotePrefix="1" applyNumberFormat="1" applyFont="1" applyBorder="1" applyAlignment="1">
      <alignment vertical="center"/>
    </xf>
    <xf numFmtId="43" fontId="7" fillId="0" borderId="97" xfId="0" applyNumberFormat="1" applyFont="1" applyBorder="1" applyAlignment="1">
      <alignment vertical="center"/>
    </xf>
    <xf numFmtId="43" fontId="27" fillId="0" borderId="97" xfId="0" applyNumberFormat="1" applyFont="1" applyBorder="1" applyAlignment="1">
      <alignment vertical="center"/>
    </xf>
    <xf numFmtId="0" fontId="7" fillId="0" borderId="98" xfId="0" applyFont="1" applyBorder="1" applyAlignment="1">
      <alignment vertical="center"/>
    </xf>
    <xf numFmtId="43" fontId="7" fillId="0" borderId="98" xfId="0" applyNumberFormat="1" applyFont="1" applyBorder="1" applyAlignment="1">
      <alignment vertical="center"/>
    </xf>
    <xf numFmtId="43" fontId="27" fillId="0" borderId="98" xfId="0" applyNumberFormat="1" applyFont="1" applyBorder="1" applyAlignment="1">
      <alignment vertical="center"/>
    </xf>
    <xf numFmtId="0" fontId="7" fillId="0" borderId="112" xfId="0" applyFont="1" applyBorder="1" applyAlignment="1">
      <alignment vertical="center"/>
    </xf>
    <xf numFmtId="43" fontId="7" fillId="0" borderId="112" xfId="0" applyNumberFormat="1" applyFont="1" applyBorder="1" applyAlignment="1">
      <alignment vertical="center"/>
    </xf>
    <xf numFmtId="43" fontId="27" fillId="0" borderId="112" xfId="0" applyNumberFormat="1" applyFont="1" applyBorder="1" applyAlignment="1">
      <alignment vertical="center"/>
    </xf>
    <xf numFmtId="0" fontId="2" fillId="0" borderId="97" xfId="0" applyFont="1" applyBorder="1" applyAlignment="1">
      <alignment horizontal="center" vertical="center"/>
    </xf>
    <xf numFmtId="0" fontId="19" fillId="0" borderId="38" xfId="0" quotePrefix="1" applyFont="1" applyBorder="1" applyAlignment="1">
      <alignment horizontal="center" vertical="center"/>
    </xf>
    <xf numFmtId="0" fontId="19" fillId="0" borderId="28" xfId="0" quotePrefix="1" applyFont="1" applyBorder="1" applyAlignment="1">
      <alignment horizontal="center" vertical="center"/>
    </xf>
    <xf numFmtId="0" fontId="0" fillId="0" borderId="36" xfId="0" applyBorder="1"/>
    <xf numFmtId="0" fontId="2" fillId="0" borderId="98" xfId="0" applyFont="1" applyBorder="1" applyAlignment="1">
      <alignment vertical="center"/>
    </xf>
    <xf numFmtId="43" fontId="2" fillId="0" borderId="98" xfId="0" applyNumberFormat="1" applyFont="1" applyBorder="1" applyAlignment="1">
      <alignment vertical="center"/>
    </xf>
    <xf numFmtId="43" fontId="9" fillId="0" borderId="98" xfId="0" applyNumberFormat="1" applyFont="1" applyBorder="1" applyAlignment="1">
      <alignment vertical="center"/>
    </xf>
    <xf numFmtId="0" fontId="33" fillId="0" borderId="0" xfId="0" applyFont="1" applyAlignment="1">
      <alignment horizontal="left"/>
    </xf>
    <xf numFmtId="0" fontId="34" fillId="0" borderId="0" xfId="0" applyFont="1"/>
    <xf numFmtId="0" fontId="36" fillId="7" borderId="42" xfId="0" applyFont="1" applyFill="1" applyBorder="1" applyAlignment="1">
      <alignment horizontal="center" vertical="center" wrapText="1"/>
    </xf>
    <xf numFmtId="0" fontId="36" fillId="7" borderId="42" xfId="0" applyFont="1" applyFill="1" applyBorder="1" applyAlignment="1">
      <alignment horizontal="center" vertical="center"/>
    </xf>
    <xf numFmtId="0" fontId="36" fillId="7" borderId="43" xfId="0" applyFont="1" applyFill="1" applyBorder="1" applyAlignment="1">
      <alignment horizontal="center" vertical="center" wrapText="1"/>
    </xf>
    <xf numFmtId="17" fontId="20" fillId="0" borderId="114" xfId="0" quotePrefix="1" applyNumberFormat="1" applyFont="1" applyBorder="1" applyAlignment="1">
      <alignment vertical="center"/>
    </xf>
    <xf numFmtId="17" fontId="20" fillId="0" borderId="115" xfId="0" quotePrefix="1" applyNumberFormat="1" applyFont="1" applyBorder="1" applyAlignment="1">
      <alignment vertical="center"/>
    </xf>
    <xf numFmtId="17" fontId="18" fillId="0" borderId="115" xfId="0" quotePrefix="1" applyNumberFormat="1" applyFont="1" applyBorder="1" applyAlignment="1">
      <alignment vertical="center"/>
    </xf>
    <xf numFmtId="17" fontId="18" fillId="0" borderId="116" xfId="0" quotePrefix="1" applyNumberFormat="1" applyFont="1" applyBorder="1" applyAlignment="1">
      <alignment vertical="center"/>
    </xf>
    <xf numFmtId="165" fontId="3" fillId="0" borderId="52" xfId="0" applyNumberFormat="1" applyFont="1" applyBorder="1" applyAlignment="1">
      <alignment vertical="center"/>
    </xf>
    <xf numFmtId="0" fontId="41" fillId="0" borderId="21" xfId="0" applyFont="1" applyBorder="1" applyAlignment="1">
      <alignment horizontal="center" vertical="center"/>
    </xf>
    <xf numFmtId="2" fontId="41" fillId="0" borderId="21" xfId="0" applyNumberFormat="1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42" fillId="6" borderId="23" xfId="0" applyFont="1" applyFill="1" applyBorder="1" applyAlignment="1">
      <alignment horizontal="center" vertical="center"/>
    </xf>
    <xf numFmtId="3" fontId="42" fillId="0" borderId="18" xfId="0" applyNumberFormat="1" applyFont="1" applyBorder="1" applyAlignment="1">
      <alignment vertical="center"/>
    </xf>
    <xf numFmtId="3" fontId="43" fillId="0" borderId="18" xfId="0" applyNumberFormat="1" applyFont="1" applyBorder="1" applyAlignment="1">
      <alignment vertical="center"/>
    </xf>
    <xf numFmtId="3" fontId="41" fillId="0" borderId="18" xfId="0" applyNumberFormat="1" applyFont="1" applyBorder="1" applyAlignment="1">
      <alignment vertical="center"/>
    </xf>
    <xf numFmtId="3" fontId="42" fillId="0" borderId="14" xfId="0" applyNumberFormat="1" applyFont="1" applyBorder="1" applyAlignment="1">
      <alignment vertical="center"/>
    </xf>
    <xf numFmtId="3" fontId="42" fillId="0" borderId="22" xfId="0" applyNumberFormat="1" applyFont="1" applyBorder="1" applyAlignment="1">
      <alignment vertical="center"/>
    </xf>
    <xf numFmtId="3" fontId="34" fillId="0" borderId="0" xfId="0" applyNumberFormat="1" applyFont="1"/>
    <xf numFmtId="3" fontId="42" fillId="6" borderId="24" xfId="0" applyNumberFormat="1" applyFont="1" applyFill="1" applyBorder="1" applyAlignment="1">
      <alignment vertical="center"/>
    </xf>
    <xf numFmtId="3" fontId="1" fillId="0" borderId="39" xfId="0" applyNumberFormat="1" applyFont="1" applyBorder="1" applyAlignment="1">
      <alignment vertical="center"/>
    </xf>
    <xf numFmtId="3" fontId="1" fillId="0" borderId="40" xfId="0" applyNumberFormat="1" applyFont="1" applyBorder="1" applyAlignment="1">
      <alignment vertical="center"/>
    </xf>
    <xf numFmtId="3" fontId="1" fillId="0" borderId="29" xfId="0" applyNumberFormat="1" applyFont="1" applyBorder="1" applyAlignment="1">
      <alignment vertical="center"/>
    </xf>
    <xf numFmtId="3" fontId="1" fillId="0" borderId="30" xfId="0" applyNumberFormat="1" applyFont="1" applyBorder="1" applyAlignment="1">
      <alignment vertical="center"/>
    </xf>
    <xf numFmtId="37" fontId="23" fillId="0" borderId="69" xfId="1" applyNumberFormat="1" applyFont="1" applyBorder="1" applyAlignment="1" applyProtection="1">
      <alignment vertical="center"/>
      <protection locked="0"/>
    </xf>
    <xf numFmtId="37" fontId="23" fillId="0" borderId="70" xfId="1" applyNumberFormat="1" applyFont="1" applyBorder="1" applyAlignment="1" applyProtection="1">
      <alignment vertical="center"/>
      <protection locked="0"/>
    </xf>
    <xf numFmtId="37" fontId="38" fillId="0" borderId="70" xfId="1" applyNumberFormat="1" applyFont="1" applyBorder="1" applyAlignment="1" applyProtection="1">
      <alignment vertical="center"/>
      <protection locked="0"/>
    </xf>
    <xf numFmtId="37" fontId="38" fillId="0" borderId="71" xfId="1" applyNumberFormat="1" applyFont="1" applyBorder="1" applyAlignment="1" applyProtection="1">
      <alignment vertical="center"/>
      <protection locked="0"/>
    </xf>
    <xf numFmtId="37" fontId="23" fillId="0" borderId="72" xfId="1" applyNumberFormat="1" applyFont="1" applyBorder="1" applyAlignment="1" applyProtection="1">
      <alignment vertical="center"/>
      <protection locked="0"/>
    </xf>
    <xf numFmtId="37" fontId="23" fillId="0" borderId="73" xfId="0" applyNumberFormat="1" applyFont="1" applyBorder="1" applyAlignment="1" applyProtection="1">
      <alignment vertical="center"/>
      <protection locked="0"/>
    </xf>
    <xf numFmtId="37" fontId="23" fillId="0" borderId="74" xfId="1" applyNumberFormat="1" applyFont="1" applyBorder="1" applyAlignment="1" applyProtection="1">
      <alignment horizontal="center" vertical="center"/>
      <protection locked="0"/>
    </xf>
    <xf numFmtId="37" fontId="23" fillId="0" borderId="93" xfId="1" applyNumberFormat="1" applyFont="1" applyBorder="1" applyAlignment="1" applyProtection="1">
      <alignment vertical="center"/>
      <protection locked="0"/>
    </xf>
    <xf numFmtId="37" fontId="23" fillId="0" borderId="94" xfId="1" applyNumberFormat="1" applyFont="1" applyBorder="1" applyAlignment="1" applyProtection="1">
      <alignment vertical="center"/>
      <protection locked="0"/>
    </xf>
    <xf numFmtId="37" fontId="38" fillId="0" borderId="94" xfId="1" applyNumberFormat="1" applyFont="1" applyBorder="1" applyAlignment="1" applyProtection="1">
      <alignment vertical="center"/>
      <protection locked="0"/>
    </xf>
    <xf numFmtId="37" fontId="38" fillId="0" borderId="95" xfId="1" applyNumberFormat="1" applyFont="1" applyBorder="1" applyAlignment="1" applyProtection="1">
      <alignment vertical="center"/>
      <protection locked="0"/>
    </xf>
    <xf numFmtId="37" fontId="23" fillId="0" borderId="77" xfId="1" applyNumberFormat="1" applyFont="1" applyBorder="1" applyAlignment="1" applyProtection="1">
      <alignment vertical="center"/>
      <protection locked="0"/>
    </xf>
    <xf numFmtId="37" fontId="23" fillId="0" borderId="113" xfId="0" applyNumberFormat="1" applyFont="1" applyBorder="1" applyAlignment="1" applyProtection="1">
      <alignment vertical="center"/>
      <protection locked="0"/>
    </xf>
    <xf numFmtId="37" fontId="23" fillId="0" borderId="101" xfId="1" applyNumberFormat="1" applyFont="1" applyBorder="1" applyAlignment="1" applyProtection="1">
      <alignment horizontal="center" vertical="center"/>
      <protection locked="0"/>
    </xf>
    <xf numFmtId="37" fontId="23" fillId="0" borderId="78" xfId="1" applyNumberFormat="1" applyFont="1" applyBorder="1" applyAlignment="1" applyProtection="1">
      <alignment vertical="center"/>
      <protection locked="0"/>
    </xf>
    <xf numFmtId="37" fontId="38" fillId="0" borderId="78" xfId="1" applyNumberFormat="1" applyFont="1" applyBorder="1" applyAlignment="1" applyProtection="1">
      <alignment vertical="center"/>
      <protection locked="0"/>
    </xf>
    <xf numFmtId="37" fontId="38" fillId="0" borderId="79" xfId="1" applyNumberFormat="1" applyFont="1" applyBorder="1" applyAlignment="1" applyProtection="1">
      <alignment vertical="center"/>
      <protection locked="0"/>
    </xf>
    <xf numFmtId="37" fontId="23" fillId="0" borderId="82" xfId="1" applyNumberFormat="1" applyFont="1" applyBorder="1" applyAlignment="1" applyProtection="1">
      <alignment vertical="center"/>
      <protection locked="0"/>
    </xf>
    <xf numFmtId="37" fontId="23" fillId="0" borderId="83" xfId="1" applyNumberFormat="1" applyFont="1" applyBorder="1" applyAlignment="1" applyProtection="1">
      <alignment vertical="center"/>
      <protection locked="0"/>
    </xf>
    <xf numFmtId="37" fontId="38" fillId="0" borderId="83" xfId="1" applyNumberFormat="1" applyFont="1" applyBorder="1" applyAlignment="1" applyProtection="1">
      <alignment vertical="center"/>
      <protection locked="0"/>
    </xf>
    <xf numFmtId="37" fontId="38" fillId="0" borderId="84" xfId="1" applyNumberFormat="1" applyFont="1" applyBorder="1" applyAlignment="1" applyProtection="1">
      <alignment vertical="center"/>
      <protection locked="0"/>
    </xf>
    <xf numFmtId="37" fontId="23" fillId="0" borderId="100" xfId="1" applyNumberFormat="1" applyFont="1" applyBorder="1" applyAlignment="1" applyProtection="1">
      <alignment horizontal="center" vertical="center"/>
      <protection locked="0"/>
    </xf>
    <xf numFmtId="37" fontId="23" fillId="7" borderId="87" xfId="1" applyNumberFormat="1" applyFont="1" applyFill="1" applyBorder="1" applyAlignment="1">
      <alignment vertical="center"/>
    </xf>
    <xf numFmtId="37" fontId="39" fillId="7" borderId="87" xfId="1" applyNumberFormat="1" applyFont="1" applyFill="1" applyBorder="1" applyAlignment="1">
      <alignment vertical="center"/>
    </xf>
    <xf numFmtId="37" fontId="39" fillId="7" borderId="88" xfId="1" applyNumberFormat="1" applyFont="1" applyFill="1" applyBorder="1" applyAlignment="1">
      <alignment vertical="center"/>
    </xf>
    <xf numFmtId="37" fontId="23" fillId="7" borderId="89" xfId="1" applyNumberFormat="1" applyFont="1" applyFill="1" applyBorder="1" applyAlignment="1">
      <alignment horizontal="center" vertical="center"/>
    </xf>
    <xf numFmtId="41" fontId="11" fillId="0" borderId="27" xfId="0" applyNumberFormat="1" applyFont="1" applyBorder="1" applyAlignment="1">
      <alignment vertical="center"/>
    </xf>
    <xf numFmtId="41" fontId="11" fillId="0" borderId="102" xfId="0" applyNumberFormat="1" applyFont="1" applyBorder="1" applyAlignment="1">
      <alignment vertical="center"/>
    </xf>
    <xf numFmtId="41" fontId="11" fillId="0" borderId="106" xfId="0" applyNumberFormat="1" applyFont="1" applyBorder="1" applyAlignment="1">
      <alignment vertical="center"/>
    </xf>
    <xf numFmtId="41" fontId="11" fillId="0" borderId="11" xfId="0" applyNumberFormat="1" applyFont="1" applyBorder="1" applyAlignment="1">
      <alignment vertical="center"/>
    </xf>
    <xf numFmtId="41" fontId="11" fillId="0" borderId="39" xfId="0" applyNumberFormat="1" applyFont="1" applyBorder="1" applyAlignment="1">
      <alignment vertical="center"/>
    </xf>
    <xf numFmtId="41" fontId="11" fillId="0" borderId="41" xfId="0" applyNumberFormat="1" applyFont="1" applyBorder="1" applyAlignment="1">
      <alignment vertical="center"/>
    </xf>
    <xf numFmtId="41" fontId="11" fillId="0" borderId="107" xfId="0" applyNumberFormat="1" applyFont="1" applyBorder="1" applyAlignment="1">
      <alignment vertical="center"/>
    </xf>
    <xf numFmtId="41" fontId="11" fillId="0" borderId="52" xfId="0" applyNumberFormat="1" applyFont="1" applyBorder="1" applyAlignment="1">
      <alignment vertical="center"/>
    </xf>
    <xf numFmtId="41" fontId="11" fillId="0" borderId="104" xfId="0" applyNumberFormat="1" applyFont="1" applyBorder="1" applyAlignment="1">
      <alignment vertical="center"/>
    </xf>
    <xf numFmtId="41" fontId="11" fillId="0" borderId="108" xfId="0" applyNumberFormat="1" applyFont="1" applyBorder="1" applyAlignment="1">
      <alignment vertical="center"/>
    </xf>
    <xf numFmtId="41" fontId="11" fillId="0" borderId="17" xfId="0" applyNumberFormat="1" applyFont="1" applyBorder="1" applyAlignment="1">
      <alignment vertical="center"/>
    </xf>
    <xf numFmtId="41" fontId="12" fillId="0" borderId="4" xfId="0" applyNumberFormat="1" applyFont="1" applyBorder="1" applyAlignment="1">
      <alignment vertical="center"/>
    </xf>
    <xf numFmtId="41" fontId="11" fillId="0" borderId="4" xfId="0" applyNumberFormat="1" applyFont="1" applyBorder="1" applyAlignment="1">
      <alignment vertical="center"/>
    </xf>
    <xf numFmtId="41" fontId="11" fillId="0" borderId="36" xfId="0" applyNumberFormat="1" applyFont="1" applyBorder="1" applyAlignment="1">
      <alignment vertical="center"/>
    </xf>
    <xf numFmtId="41" fontId="11" fillId="7" borderId="15" xfId="0" applyNumberFormat="1" applyFont="1" applyFill="1" applyBorder="1" applyAlignment="1">
      <alignment vertical="center"/>
    </xf>
    <xf numFmtId="41" fontId="11" fillId="0" borderId="3" xfId="0" applyNumberFormat="1" applyFont="1" applyBorder="1" applyAlignment="1">
      <alignment horizontal="center" vertical="center"/>
    </xf>
    <xf numFmtId="0" fontId="3" fillId="7" borderId="46" xfId="0" applyFont="1" applyFill="1" applyBorder="1" applyAlignment="1">
      <alignment horizontal="center"/>
    </xf>
    <xf numFmtId="0" fontId="3" fillId="7" borderId="53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 vertical="top"/>
    </xf>
    <xf numFmtId="0" fontId="8" fillId="7" borderId="12" xfId="0" applyFont="1" applyFill="1" applyBorder="1" applyAlignment="1">
      <alignment horizontal="center" vertical="top"/>
    </xf>
    <xf numFmtId="3" fontId="35" fillId="0" borderId="122" xfId="0" applyNumberFormat="1" applyFont="1" applyBorder="1"/>
    <xf numFmtId="3" fontId="44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9" fillId="0" borderId="0" xfId="0" quotePrefix="1" applyFont="1" applyAlignment="1">
      <alignment horizontal="center" vertical="center"/>
    </xf>
    <xf numFmtId="3" fontId="41" fillId="0" borderId="90" xfId="0" applyNumberFormat="1" applyFont="1" applyBorder="1" applyAlignment="1">
      <alignment vertical="center"/>
    </xf>
    <xf numFmtId="164" fontId="36" fillId="0" borderId="122" xfId="0" applyNumberFormat="1" applyFont="1" applyBorder="1" applyAlignment="1">
      <alignment vertical="center"/>
    </xf>
    <xf numFmtId="3" fontId="42" fillId="0" borderId="122" xfId="0" applyNumberFormat="1" applyFont="1" applyBorder="1" applyAlignment="1">
      <alignment vertical="center"/>
    </xf>
    <xf numFmtId="3" fontId="41" fillId="6" borderId="24" xfId="0" applyNumberFormat="1" applyFont="1" applyFill="1" applyBorder="1" applyAlignment="1">
      <alignment vertical="center"/>
    </xf>
    <xf numFmtId="0" fontId="15" fillId="0" borderId="36" xfId="0" quotePrefix="1" applyFont="1" applyBorder="1" applyAlignment="1">
      <alignment vertical="center"/>
    </xf>
    <xf numFmtId="0" fontId="5" fillId="7" borderId="52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center" vertical="center" wrapText="1"/>
    </xf>
    <xf numFmtId="0" fontId="40" fillId="7" borderId="45" xfId="0" applyFont="1" applyFill="1" applyBorder="1" applyAlignment="1">
      <alignment horizontal="center" vertical="center" wrapText="1"/>
    </xf>
    <xf numFmtId="3" fontId="42" fillId="6" borderId="24" xfId="0" applyNumberFormat="1" applyFont="1" applyFill="1" applyBorder="1" applyAlignment="1">
      <alignment horizontal="right" vertical="center"/>
    </xf>
    <xf numFmtId="3" fontId="42" fillId="6" borderId="119" xfId="0" applyNumberFormat="1" applyFont="1" applyFill="1" applyBorder="1" applyAlignment="1">
      <alignment horizontal="right" vertical="center"/>
    </xf>
    <xf numFmtId="3" fontId="42" fillId="6" borderId="121" xfId="0" applyNumberFormat="1" applyFont="1" applyFill="1" applyBorder="1" applyAlignment="1">
      <alignment horizontal="right" vertical="center"/>
    </xf>
    <xf numFmtId="3" fontId="42" fillId="0" borderId="2" xfId="0" applyNumberFormat="1" applyFont="1" applyBorder="1" applyAlignment="1">
      <alignment horizontal="right" vertical="center"/>
    </xf>
    <xf numFmtId="3" fontId="42" fillId="0" borderId="5" xfId="0" applyNumberFormat="1" applyFont="1" applyBorder="1" applyAlignment="1">
      <alignment horizontal="right" vertical="center"/>
    </xf>
    <xf numFmtId="3" fontId="42" fillId="0" borderId="4" xfId="0" applyNumberFormat="1" applyFont="1" applyBorder="1" applyAlignment="1">
      <alignment horizontal="right" vertical="center"/>
    </xf>
    <xf numFmtId="3" fontId="42" fillId="0" borderId="117" xfId="0" applyNumberFormat="1" applyFont="1" applyBorder="1" applyAlignment="1">
      <alignment horizontal="right" vertical="center"/>
    </xf>
    <xf numFmtId="3" fontId="42" fillId="0" borderId="118" xfId="0" applyNumberFormat="1" applyFont="1" applyBorder="1" applyAlignment="1">
      <alignment horizontal="right" vertical="center"/>
    </xf>
    <xf numFmtId="3" fontId="42" fillId="0" borderId="120" xfId="0" applyNumberFormat="1" applyFont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4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7" fontId="15" fillId="0" borderId="36" xfId="0" quotePrefix="1" applyNumberFormat="1" applyFont="1" applyBorder="1" applyAlignment="1">
      <alignment horizontal="center" vertical="center"/>
    </xf>
    <xf numFmtId="0" fontId="15" fillId="0" borderId="36" xfId="0" quotePrefix="1" applyFont="1" applyBorder="1" applyAlignment="1">
      <alignment horizontal="center" vertical="center"/>
    </xf>
    <xf numFmtId="0" fontId="5" fillId="2" borderId="12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9" fillId="4" borderId="41" xfId="0" applyFont="1" applyFill="1" applyBorder="1" applyAlignment="1">
      <alignment horizontal="center" vertical="center"/>
    </xf>
    <xf numFmtId="0" fontId="29" fillId="4" borderId="48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164" fontId="6" fillId="2" borderId="17" xfId="0" applyNumberFormat="1" applyFont="1" applyFill="1" applyBorder="1" applyAlignment="1">
      <alignment horizontal="center" vertical="center"/>
    </xf>
    <xf numFmtId="164" fontId="6" fillId="2" borderId="5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8" borderId="41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7" fontId="15" fillId="0" borderId="0" xfId="0" quotePrefix="1" applyNumberFormat="1" applyFont="1" applyAlignment="1">
      <alignment horizontal="center"/>
    </xf>
    <xf numFmtId="4" fontId="3" fillId="7" borderId="46" xfId="0" quotePrefix="1" applyNumberFormat="1" applyFont="1" applyFill="1" applyBorder="1" applyAlignment="1">
      <alignment horizontal="center" vertical="center"/>
    </xf>
    <xf numFmtId="4" fontId="3" fillId="7" borderId="31" xfId="0" quotePrefix="1" applyNumberFormat="1" applyFont="1" applyFill="1" applyBorder="1" applyAlignment="1">
      <alignment horizontal="center" vertical="center"/>
    </xf>
    <xf numFmtId="0" fontId="40" fillId="7" borderId="52" xfId="0" applyFont="1" applyFill="1" applyBorder="1" applyAlignment="1">
      <alignment horizontal="center" vertical="center" wrapText="1"/>
    </xf>
    <xf numFmtId="0" fontId="40" fillId="7" borderId="44" xfId="0" applyFont="1" applyFill="1" applyBorder="1" applyAlignment="1">
      <alignment horizontal="center" vertical="center" wrapText="1"/>
    </xf>
    <xf numFmtId="164" fontId="36" fillId="7" borderId="114" xfId="0" applyNumberFormat="1" applyFont="1" applyFill="1" applyBorder="1" applyAlignment="1">
      <alignment horizontal="center" vertical="center"/>
    </xf>
    <xf numFmtId="164" fontId="36" fillId="7" borderId="115" xfId="0" applyNumberFormat="1" applyFont="1" applyFill="1" applyBorder="1" applyAlignment="1">
      <alignment horizontal="center" vertical="center"/>
    </xf>
    <xf numFmtId="164" fontId="3" fillId="7" borderId="53" xfId="0" applyNumberFormat="1" applyFont="1" applyFill="1" applyBorder="1" applyAlignment="1">
      <alignment horizontal="center"/>
    </xf>
    <xf numFmtId="164" fontId="3" fillId="7" borderId="109" xfId="0" applyNumberFormat="1" applyFont="1" applyFill="1" applyBorder="1" applyAlignment="1">
      <alignment horizontal="center"/>
    </xf>
    <xf numFmtId="164" fontId="8" fillId="7" borderId="12" xfId="0" applyNumberFormat="1" applyFont="1" applyFill="1" applyBorder="1" applyAlignment="1">
      <alignment horizontal="center" vertical="top"/>
    </xf>
    <xf numFmtId="164" fontId="8" fillId="7" borderId="16" xfId="0" applyNumberFormat="1" applyFont="1" applyFill="1" applyBorder="1" applyAlignment="1">
      <alignment horizontal="center" vertical="top"/>
    </xf>
    <xf numFmtId="164" fontId="26" fillId="0" borderId="0" xfId="0" applyNumberFormat="1" applyFont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03" xfId="0" applyFont="1" applyFill="1" applyBorder="1" applyAlignment="1">
      <alignment horizontal="center" vertical="center"/>
    </xf>
    <xf numFmtId="164" fontId="37" fillId="0" borderId="122" xfId="0" applyNumberFormat="1" applyFont="1" applyBorder="1" applyAlignment="1">
      <alignment horizontal="center" vertical="center"/>
    </xf>
    <xf numFmtId="164" fontId="8" fillId="7" borderId="36" xfId="0" applyNumberFormat="1" applyFont="1" applyFill="1" applyBorder="1" applyAlignment="1">
      <alignment horizontal="center" vertical="top"/>
    </xf>
    <xf numFmtId="0" fontId="22" fillId="0" borderId="0" xfId="0" applyFont="1" applyAlignment="1">
      <alignment horizontal="left" wrapText="1"/>
    </xf>
    <xf numFmtId="2" fontId="23" fillId="7" borderId="56" xfId="0" applyNumberFormat="1" applyFont="1" applyFill="1" applyBorder="1" applyAlignment="1">
      <alignment horizontal="center" vertical="center" wrapText="1"/>
    </xf>
    <xf numFmtId="2" fontId="23" fillId="7" borderId="60" xfId="0" applyNumberFormat="1" applyFont="1" applyFill="1" applyBorder="1" applyAlignment="1">
      <alignment horizontal="center" vertical="center" wrapText="1"/>
    </xf>
    <xf numFmtId="0" fontId="23" fillId="7" borderId="58" xfId="0" applyFont="1" applyFill="1" applyBorder="1" applyAlignment="1">
      <alignment horizontal="center" vertical="center"/>
    </xf>
    <xf numFmtId="0" fontId="23" fillId="7" borderId="59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164" fontId="5" fillId="7" borderId="49" xfId="0" applyNumberFormat="1" applyFont="1" applyFill="1" applyBorder="1" applyAlignment="1">
      <alignment horizontal="center" vertical="center"/>
    </xf>
    <xf numFmtId="164" fontId="5" fillId="7" borderId="50" xfId="0" applyNumberFormat="1" applyFont="1" applyFill="1" applyBorder="1" applyAlignment="1">
      <alignment horizontal="center" vertical="center"/>
    </xf>
    <xf numFmtId="164" fontId="5" fillId="7" borderId="51" xfId="0" applyNumberFormat="1" applyFont="1" applyFill="1" applyBorder="1" applyAlignment="1">
      <alignment horizontal="center" vertical="center"/>
    </xf>
    <xf numFmtId="164" fontId="6" fillId="7" borderId="54" xfId="0" applyNumberFormat="1" applyFont="1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164" fontId="9" fillId="7" borderId="110" xfId="0" applyNumberFormat="1" applyFont="1" applyFill="1" applyBorder="1" applyAlignment="1">
      <alignment horizontal="center" vertical="center"/>
    </xf>
    <xf numFmtId="164" fontId="9" fillId="7" borderId="19" xfId="0" applyNumberFormat="1" applyFont="1" applyFill="1" applyBorder="1" applyAlignment="1">
      <alignment horizontal="center" vertical="center"/>
    </xf>
    <xf numFmtId="164" fontId="9" fillId="7" borderId="37" xfId="0" applyNumberFormat="1" applyFont="1" applyFill="1" applyBorder="1" applyAlignment="1">
      <alignment horizontal="center" vertical="center"/>
    </xf>
    <xf numFmtId="164" fontId="9" fillId="7" borderId="54" xfId="0" applyNumberFormat="1" applyFont="1" applyFill="1" applyBorder="1" applyAlignment="1">
      <alignment horizontal="center" vertical="center"/>
    </xf>
    <xf numFmtId="164" fontId="9" fillId="7" borderId="17" xfId="0" applyNumberFormat="1" applyFont="1" applyFill="1" applyBorder="1" applyAlignment="1">
      <alignment horizontal="center" vertical="center"/>
    </xf>
    <xf numFmtId="0" fontId="3" fillId="4" borderId="104" xfId="0" applyFont="1" applyFill="1" applyBorder="1" applyAlignment="1">
      <alignment horizontal="center" vertical="center"/>
    </xf>
    <xf numFmtId="0" fontId="3" fillId="4" borderId="10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STOCK</a:t>
            </a:r>
            <a:r>
              <a:rPr lang="en-US" sz="1100" baseline="0"/>
              <a:t> AKHIR RATA-RATA</a:t>
            </a:r>
          </a:p>
          <a:p>
            <a:pPr>
              <a:defRPr/>
            </a:pPr>
            <a:r>
              <a:rPr lang="en-US" sz="1100" baseline="0"/>
              <a:t>PER BULAN 2025</a:t>
            </a:r>
            <a:endParaRPr lang="en-US" sz="1100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Sheet1!$N$676:$N$681</c:f>
              <c:strCache>
                <c:ptCount val="5"/>
                <c:pt idx="0">
                  <c:v> B W</c:v>
                </c:pt>
                <c:pt idx="1">
                  <c:v>FLEX</c:v>
                </c:pt>
                <c:pt idx="2">
                  <c:v>L V</c:v>
                </c:pt>
                <c:pt idx="3">
                  <c:v>M V</c:v>
                </c:pt>
                <c:pt idx="4">
                  <c:v>S C</c:v>
                </c:pt>
              </c:strCache>
            </c:strRef>
          </c:cat>
          <c:val>
            <c:numRef>
              <c:f>Sheet1!$O$676:$O$681</c:f>
              <c:numCache>
                <c:formatCode>_(* #,##0_);_(* \(#,##0\);_(* "-"_);_(@_)</c:formatCode>
                <c:ptCount val="5"/>
                <c:pt idx="0">
                  <c:v>452</c:v>
                </c:pt>
                <c:pt idx="1">
                  <c:v>66</c:v>
                </c:pt>
                <c:pt idx="2">
                  <c:v>149</c:v>
                </c:pt>
                <c:pt idx="3">
                  <c:v>3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8-4CA0-ACD6-AEECC4D81C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8491392"/>
        <c:axId val="98793344"/>
        <c:axId val="0"/>
      </c:bar3DChart>
      <c:catAx>
        <c:axId val="98491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8793344"/>
        <c:crosses val="autoZero"/>
        <c:auto val="1"/>
        <c:lblAlgn val="ctr"/>
        <c:lblOffset val="100"/>
        <c:noMultiLvlLbl val="0"/>
      </c:catAx>
      <c:valAx>
        <c:axId val="98793344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98491392"/>
        <c:crosses val="autoZero"/>
        <c:crossBetween val="between"/>
      </c:valAx>
    </c:plotArea>
    <c:plotVisOnly val="1"/>
    <c:dispBlanksAs val="gap"/>
    <c:showDLblsOverMax val="0"/>
  </c:chart>
  <c:spPr>
    <a:ln w="19050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43793</xdr:colOff>
      <xdr:row>670</xdr:row>
      <xdr:rowOff>87586</xdr:rowOff>
    </xdr:from>
    <xdr:to>
      <xdr:col>11</xdr:col>
      <xdr:colOff>635000</xdr:colOff>
      <xdr:row>681</xdr:row>
      <xdr:rowOff>10948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730"/>
  <sheetViews>
    <sheetView tabSelected="1" topLeftCell="A623" zoomScale="55" zoomScaleNormal="55" workbookViewId="0">
      <selection activeCell="O687" sqref="O687"/>
    </sheetView>
  </sheetViews>
  <sheetFormatPr defaultRowHeight="15"/>
  <cols>
    <col min="1" max="1" width="3.140625" customWidth="1"/>
    <col min="2" max="2" width="62.42578125" customWidth="1"/>
    <col min="3" max="3" width="15.140625" customWidth="1"/>
    <col min="4" max="5" width="13.7109375" customWidth="1"/>
    <col min="6" max="6" width="15.7109375" customWidth="1"/>
    <col min="7" max="7" width="15" customWidth="1"/>
    <col min="8" max="8" width="14.140625" customWidth="1"/>
    <col min="9" max="9" width="10.42578125" customWidth="1"/>
    <col min="10" max="10" width="5.5703125" customWidth="1"/>
    <col min="11" max="11" width="10.28515625" customWidth="1"/>
    <col min="12" max="12" width="6.42578125" customWidth="1"/>
    <col min="13" max="13" width="14" customWidth="1"/>
    <col min="14" max="14" width="13.140625" customWidth="1"/>
    <col min="15" max="15" width="13.42578125" customWidth="1"/>
    <col min="16" max="16" width="14.5703125" customWidth="1"/>
    <col min="17" max="17" width="16" customWidth="1"/>
    <col min="18" max="18" width="16.85546875" customWidth="1"/>
  </cols>
  <sheetData>
    <row r="2" spans="2:14" ht="23.25">
      <c r="B2" s="286" t="s">
        <v>0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</row>
    <row r="3" spans="2:14" ht="21.75" thickBot="1">
      <c r="B3" s="287" t="s">
        <v>1310</v>
      </c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</row>
    <row r="4" spans="2:14" ht="37.5" customHeight="1" thickBot="1">
      <c r="B4" s="289" t="s">
        <v>1</v>
      </c>
      <c r="C4" s="25" t="s">
        <v>192</v>
      </c>
      <c r="D4" s="4" t="s">
        <v>2</v>
      </c>
      <c r="E4" s="3" t="s">
        <v>3</v>
      </c>
      <c r="F4" s="3" t="s">
        <v>4</v>
      </c>
      <c r="G4" s="3"/>
      <c r="H4" s="3" t="s">
        <v>5</v>
      </c>
      <c r="I4" s="5" t="s">
        <v>6</v>
      </c>
      <c r="J4" s="278" t="s">
        <v>5</v>
      </c>
      <c r="K4" s="279"/>
      <c r="L4" s="279"/>
      <c r="M4" s="279"/>
      <c r="N4" s="280"/>
    </row>
    <row r="5" spans="2:14">
      <c r="B5" s="290"/>
      <c r="C5" s="24" t="s">
        <v>193</v>
      </c>
      <c r="D5" s="6" t="s">
        <v>7</v>
      </c>
      <c r="E5" s="6" t="s">
        <v>7</v>
      </c>
      <c r="F5" s="6" t="s">
        <v>7</v>
      </c>
      <c r="G5" s="7"/>
      <c r="H5" s="7" t="s">
        <v>7</v>
      </c>
      <c r="I5" s="8" t="s">
        <v>7</v>
      </c>
      <c r="J5" s="44" t="s">
        <v>8</v>
      </c>
      <c r="K5" s="45" t="s">
        <v>9</v>
      </c>
      <c r="L5" s="45" t="s">
        <v>10</v>
      </c>
      <c r="M5" s="46" t="s">
        <v>11</v>
      </c>
      <c r="N5" s="297" t="s">
        <v>12</v>
      </c>
    </row>
    <row r="6" spans="2:14" ht="15.75" thickBot="1">
      <c r="B6" s="291"/>
      <c r="C6" s="9"/>
      <c r="D6" s="10" t="s">
        <v>13</v>
      </c>
      <c r="E6" s="10" t="s">
        <v>13</v>
      </c>
      <c r="F6" s="10" t="s">
        <v>13</v>
      </c>
      <c r="G6" s="11"/>
      <c r="H6" s="11" t="s">
        <v>13</v>
      </c>
      <c r="I6" s="11" t="s">
        <v>13</v>
      </c>
      <c r="J6" s="12" t="s">
        <v>13</v>
      </c>
      <c r="K6" s="13" t="s">
        <v>13</v>
      </c>
      <c r="L6" s="13" t="s">
        <v>13</v>
      </c>
      <c r="M6" s="14" t="s">
        <v>13</v>
      </c>
      <c r="N6" s="298"/>
    </row>
    <row r="7" spans="2:14" ht="20.100000000000001" customHeight="1">
      <c r="B7" s="35" t="s">
        <v>1144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2:14" ht="20.100000000000001" customHeight="1">
      <c r="B8" s="281" t="s">
        <v>195</v>
      </c>
      <c r="C8" s="91" t="s">
        <v>188</v>
      </c>
      <c r="D8" s="92"/>
      <c r="E8" s="92"/>
      <c r="F8" s="92"/>
      <c r="G8" s="92"/>
      <c r="H8" s="93"/>
      <c r="I8" s="92"/>
      <c r="J8" s="92">
        <v>0</v>
      </c>
      <c r="K8" s="92">
        <v>0</v>
      </c>
      <c r="L8" s="92">
        <v>0</v>
      </c>
      <c r="M8" s="92">
        <v>0</v>
      </c>
      <c r="N8" s="93">
        <f t="shared" ref="N8:N18" si="0">M8+L8+K8+J8</f>
        <v>0</v>
      </c>
    </row>
    <row r="9" spans="2:14" ht="20.100000000000001" customHeight="1">
      <c r="B9" s="282"/>
      <c r="C9" s="85" t="s">
        <v>189</v>
      </c>
      <c r="D9" s="86"/>
      <c r="E9" s="86"/>
      <c r="F9" s="86"/>
      <c r="G9" s="86"/>
      <c r="H9" s="87"/>
      <c r="I9" s="86"/>
      <c r="J9" s="86">
        <v>0</v>
      </c>
      <c r="K9" s="86">
        <v>0</v>
      </c>
      <c r="L9" s="86">
        <v>0</v>
      </c>
      <c r="M9" s="86">
        <v>0</v>
      </c>
      <c r="N9" s="87">
        <f t="shared" si="0"/>
        <v>0</v>
      </c>
    </row>
    <row r="10" spans="2:14" ht="20.100000000000001" customHeight="1">
      <c r="B10" s="282"/>
      <c r="C10" s="85" t="s">
        <v>190</v>
      </c>
      <c r="D10" s="86"/>
      <c r="E10" s="86"/>
      <c r="F10" s="86"/>
      <c r="G10" s="86"/>
      <c r="H10" s="87"/>
      <c r="I10" s="86"/>
      <c r="J10" s="86">
        <v>0</v>
      </c>
      <c r="K10" s="86">
        <v>0</v>
      </c>
      <c r="L10" s="86">
        <v>0</v>
      </c>
      <c r="M10" s="86">
        <v>0</v>
      </c>
      <c r="N10" s="87">
        <f t="shared" si="0"/>
        <v>0</v>
      </c>
    </row>
    <row r="11" spans="2:14" ht="20.100000000000001" customHeight="1">
      <c r="B11" s="282"/>
      <c r="C11" s="85" t="s">
        <v>191</v>
      </c>
      <c r="D11" s="86"/>
      <c r="E11" s="86"/>
      <c r="F11" s="86"/>
      <c r="G11" s="86"/>
      <c r="H11" s="87"/>
      <c r="I11" s="86"/>
      <c r="J11" s="86">
        <v>0</v>
      </c>
      <c r="K11" s="86">
        <v>0</v>
      </c>
      <c r="L11" s="86">
        <v>0</v>
      </c>
      <c r="M11" s="86">
        <v>0</v>
      </c>
      <c r="N11" s="87">
        <f t="shared" si="0"/>
        <v>0</v>
      </c>
    </row>
    <row r="12" spans="2:14" ht="20.100000000000001" customHeight="1">
      <c r="B12" s="282"/>
      <c r="C12" s="85" t="s">
        <v>1045</v>
      </c>
      <c r="D12" s="86"/>
      <c r="E12" s="86"/>
      <c r="F12" s="86"/>
      <c r="G12" s="86"/>
      <c r="H12" s="87"/>
      <c r="I12" s="86"/>
      <c r="J12" s="86">
        <v>0</v>
      </c>
      <c r="K12" s="86">
        <v>0</v>
      </c>
      <c r="L12" s="86">
        <v>0</v>
      </c>
      <c r="M12" s="86">
        <v>0</v>
      </c>
      <c r="N12" s="87">
        <f t="shared" si="0"/>
        <v>0</v>
      </c>
    </row>
    <row r="13" spans="2:14" ht="19.5" customHeight="1">
      <c r="B13" s="283"/>
      <c r="C13" s="171" t="s">
        <v>840</v>
      </c>
      <c r="D13" s="172"/>
      <c r="E13" s="172"/>
      <c r="F13" s="172"/>
      <c r="G13" s="172"/>
      <c r="H13" s="173"/>
      <c r="I13" s="172"/>
      <c r="J13" s="172">
        <v>0</v>
      </c>
      <c r="K13" s="172">
        <v>0</v>
      </c>
      <c r="L13" s="172">
        <v>0</v>
      </c>
      <c r="M13" s="172">
        <v>0</v>
      </c>
      <c r="N13" s="173">
        <f t="shared" si="0"/>
        <v>0</v>
      </c>
    </row>
    <row r="14" spans="2:14" ht="19.5" customHeight="1">
      <c r="B14" s="296" t="s">
        <v>841</v>
      </c>
      <c r="C14" s="174" t="s">
        <v>842</v>
      </c>
      <c r="D14" s="175"/>
      <c r="E14" s="175"/>
      <c r="F14" s="175"/>
      <c r="G14" s="175"/>
      <c r="H14" s="176"/>
      <c r="I14" s="175"/>
      <c r="J14" s="175">
        <v>0</v>
      </c>
      <c r="K14" s="175">
        <v>0</v>
      </c>
      <c r="L14" s="175">
        <v>0</v>
      </c>
      <c r="M14" s="175">
        <v>0</v>
      </c>
      <c r="N14" s="176">
        <f t="shared" si="0"/>
        <v>0</v>
      </c>
    </row>
    <row r="15" spans="2:14" ht="19.5" customHeight="1">
      <c r="B15" s="282"/>
      <c r="C15" s="85" t="s">
        <v>843</v>
      </c>
      <c r="D15" s="86"/>
      <c r="E15" s="86"/>
      <c r="F15" s="86"/>
      <c r="G15" s="86"/>
      <c r="H15" s="87"/>
      <c r="I15" s="86"/>
      <c r="J15" s="86">
        <v>0</v>
      </c>
      <c r="K15" s="86">
        <v>0</v>
      </c>
      <c r="L15" s="86">
        <v>0</v>
      </c>
      <c r="M15" s="86">
        <v>0</v>
      </c>
      <c r="N15" s="87">
        <f t="shared" si="0"/>
        <v>0</v>
      </c>
    </row>
    <row r="16" spans="2:14" ht="19.5" customHeight="1">
      <c r="B16" s="282"/>
      <c r="C16" s="85" t="s">
        <v>844</v>
      </c>
      <c r="D16" s="86"/>
      <c r="E16" s="86"/>
      <c r="F16" s="86"/>
      <c r="G16" s="86"/>
      <c r="H16" s="87"/>
      <c r="I16" s="86"/>
      <c r="J16" s="86">
        <v>0</v>
      </c>
      <c r="K16" s="86">
        <v>0</v>
      </c>
      <c r="L16" s="86">
        <v>0</v>
      </c>
      <c r="M16" s="86">
        <v>0</v>
      </c>
      <c r="N16" s="87">
        <f t="shared" si="0"/>
        <v>0</v>
      </c>
    </row>
    <row r="17" spans="2:14" ht="19.5" customHeight="1">
      <c r="B17" s="282"/>
      <c r="C17" s="85" t="s">
        <v>845</v>
      </c>
      <c r="D17" s="86"/>
      <c r="E17" s="86"/>
      <c r="F17" s="86"/>
      <c r="G17" s="86"/>
      <c r="H17" s="87"/>
      <c r="I17" s="86"/>
      <c r="J17" s="86">
        <v>0</v>
      </c>
      <c r="K17" s="86">
        <v>0</v>
      </c>
      <c r="L17" s="86">
        <v>0</v>
      </c>
      <c r="M17" s="86">
        <v>0</v>
      </c>
      <c r="N17" s="87">
        <f t="shared" si="0"/>
        <v>0</v>
      </c>
    </row>
    <row r="18" spans="2:14" ht="19.5" customHeight="1">
      <c r="B18" s="282"/>
      <c r="C18" s="85" t="s">
        <v>846</v>
      </c>
      <c r="D18" s="86"/>
      <c r="E18" s="86"/>
      <c r="F18" s="86"/>
      <c r="G18" s="86"/>
      <c r="H18" s="87"/>
      <c r="I18" s="86"/>
      <c r="J18" s="86">
        <v>0</v>
      </c>
      <c r="K18" s="86">
        <v>0</v>
      </c>
      <c r="L18" s="86">
        <v>0</v>
      </c>
      <c r="M18" s="86">
        <v>0</v>
      </c>
      <c r="N18" s="87">
        <f t="shared" si="0"/>
        <v>0</v>
      </c>
    </row>
    <row r="19" spans="2:14" ht="19.5" customHeight="1">
      <c r="B19" s="285"/>
      <c r="C19" s="85"/>
      <c r="D19" s="86"/>
      <c r="E19" s="86"/>
      <c r="F19" s="86"/>
      <c r="G19" s="86"/>
      <c r="H19" s="87"/>
      <c r="I19" s="86"/>
      <c r="J19" s="86"/>
      <c r="K19" s="86"/>
      <c r="L19" s="86"/>
      <c r="M19" s="86"/>
      <c r="N19" s="87"/>
    </row>
    <row r="20" spans="2:14" ht="19.5" customHeight="1">
      <c r="B20" s="284" t="s">
        <v>196</v>
      </c>
      <c r="C20" s="85" t="s">
        <v>324</v>
      </c>
      <c r="D20" s="86"/>
      <c r="E20" s="86"/>
      <c r="F20" s="86"/>
      <c r="G20" s="86"/>
      <c r="H20" s="87"/>
      <c r="I20" s="86"/>
      <c r="J20" s="86">
        <v>0</v>
      </c>
      <c r="K20" s="86">
        <v>0</v>
      </c>
      <c r="L20" s="86">
        <v>0</v>
      </c>
      <c r="M20" s="86">
        <v>0</v>
      </c>
      <c r="N20" s="87">
        <f t="shared" ref="N20:N60" si="1">M20+L20+K20+J20</f>
        <v>0</v>
      </c>
    </row>
    <row r="21" spans="2:14" ht="20.100000000000001" customHeight="1">
      <c r="B21" s="282"/>
      <c r="C21" s="85" t="s">
        <v>194</v>
      </c>
      <c r="D21" s="86"/>
      <c r="E21" s="86"/>
      <c r="F21" s="86"/>
      <c r="G21" s="86"/>
      <c r="H21" s="87"/>
      <c r="I21" s="86"/>
      <c r="J21" s="86">
        <v>0</v>
      </c>
      <c r="K21" s="86">
        <v>0</v>
      </c>
      <c r="L21" s="86">
        <v>0</v>
      </c>
      <c r="M21" s="86">
        <v>0</v>
      </c>
      <c r="N21" s="87">
        <f t="shared" si="1"/>
        <v>0</v>
      </c>
    </row>
    <row r="22" spans="2:14" ht="20.100000000000001" customHeight="1">
      <c r="B22" s="285"/>
      <c r="C22" s="85" t="s">
        <v>542</v>
      </c>
      <c r="D22" s="86"/>
      <c r="E22" s="86"/>
      <c r="F22" s="86"/>
      <c r="G22" s="86"/>
      <c r="H22" s="87"/>
      <c r="I22" s="86"/>
      <c r="J22" s="86">
        <v>0</v>
      </c>
      <c r="K22" s="86">
        <v>0</v>
      </c>
      <c r="L22" s="86">
        <v>0</v>
      </c>
      <c r="M22" s="86">
        <v>0</v>
      </c>
      <c r="N22" s="87">
        <f t="shared" si="1"/>
        <v>0</v>
      </c>
    </row>
    <row r="23" spans="2:14" ht="20.100000000000001" customHeight="1">
      <c r="B23" s="284" t="s">
        <v>197</v>
      </c>
      <c r="C23" s="85" t="s">
        <v>198</v>
      </c>
      <c r="D23" s="86"/>
      <c r="E23" s="86"/>
      <c r="F23" s="86"/>
      <c r="G23" s="86"/>
      <c r="H23" s="87"/>
      <c r="I23" s="86"/>
      <c r="J23" s="86">
        <v>0</v>
      </c>
      <c r="K23" s="86">
        <v>0</v>
      </c>
      <c r="L23" s="86">
        <v>0</v>
      </c>
      <c r="M23" s="86">
        <v>0</v>
      </c>
      <c r="N23" s="87">
        <f t="shared" si="1"/>
        <v>0</v>
      </c>
    </row>
    <row r="24" spans="2:14" ht="20.100000000000001" customHeight="1">
      <c r="B24" s="282"/>
      <c r="C24" s="85" t="s">
        <v>199</v>
      </c>
      <c r="D24" s="86"/>
      <c r="E24" s="86"/>
      <c r="F24" s="86"/>
      <c r="G24" s="86"/>
      <c r="H24" s="87"/>
      <c r="I24" s="86"/>
      <c r="J24" s="86">
        <v>0</v>
      </c>
      <c r="K24" s="86">
        <v>0</v>
      </c>
      <c r="L24" s="86">
        <v>0</v>
      </c>
      <c r="M24" s="86">
        <v>0</v>
      </c>
      <c r="N24" s="87">
        <f t="shared" si="1"/>
        <v>0</v>
      </c>
    </row>
    <row r="25" spans="2:14" ht="20.100000000000001" customHeight="1">
      <c r="B25" s="282"/>
      <c r="C25" s="85" t="s">
        <v>328</v>
      </c>
      <c r="D25" s="86"/>
      <c r="E25" s="86"/>
      <c r="F25" s="86"/>
      <c r="G25" s="86"/>
      <c r="H25" s="87"/>
      <c r="I25" s="86"/>
      <c r="J25" s="86">
        <v>0</v>
      </c>
      <c r="K25" s="86">
        <v>0</v>
      </c>
      <c r="L25" s="86">
        <v>0</v>
      </c>
      <c r="M25" s="86">
        <v>0</v>
      </c>
      <c r="N25" s="87">
        <f t="shared" si="1"/>
        <v>0</v>
      </c>
    </row>
    <row r="26" spans="2:14" ht="20.100000000000001" customHeight="1">
      <c r="B26" s="282"/>
      <c r="C26" s="85" t="s">
        <v>200</v>
      </c>
      <c r="D26" s="86"/>
      <c r="E26" s="86"/>
      <c r="F26" s="86"/>
      <c r="G26" s="86"/>
      <c r="H26" s="87"/>
      <c r="I26" s="86"/>
      <c r="J26" s="86">
        <v>0</v>
      </c>
      <c r="K26" s="86">
        <v>0</v>
      </c>
      <c r="L26" s="86">
        <v>0</v>
      </c>
      <c r="M26" s="86">
        <v>0</v>
      </c>
      <c r="N26" s="87">
        <f t="shared" si="1"/>
        <v>0</v>
      </c>
    </row>
    <row r="27" spans="2:14" ht="20.100000000000001" customHeight="1">
      <c r="B27" s="282"/>
      <c r="C27" s="85" t="s">
        <v>201</v>
      </c>
      <c r="D27" s="86"/>
      <c r="E27" s="86"/>
      <c r="F27" s="86"/>
      <c r="G27" s="86"/>
      <c r="H27" s="87"/>
      <c r="I27" s="86"/>
      <c r="J27" s="86">
        <v>0</v>
      </c>
      <c r="K27" s="86">
        <v>0</v>
      </c>
      <c r="L27" s="86">
        <v>0</v>
      </c>
      <c r="M27" s="86">
        <v>0</v>
      </c>
      <c r="N27" s="87">
        <f t="shared" si="1"/>
        <v>0</v>
      </c>
    </row>
    <row r="28" spans="2:14" ht="20.100000000000001" customHeight="1">
      <c r="B28" s="285"/>
      <c r="C28" s="85" t="s">
        <v>1046</v>
      </c>
      <c r="D28" s="86"/>
      <c r="E28" s="86"/>
      <c r="F28" s="86"/>
      <c r="G28" s="86"/>
      <c r="H28" s="87"/>
      <c r="I28" s="86"/>
      <c r="J28" s="86">
        <v>0</v>
      </c>
      <c r="K28" s="86">
        <v>0</v>
      </c>
      <c r="L28" s="86">
        <v>0</v>
      </c>
      <c r="M28" s="86">
        <v>0</v>
      </c>
      <c r="N28" s="87">
        <f t="shared" si="1"/>
        <v>0</v>
      </c>
    </row>
    <row r="29" spans="2:14" ht="20.100000000000001" customHeight="1">
      <c r="B29" s="284" t="s">
        <v>202</v>
      </c>
      <c r="C29" s="85" t="s">
        <v>203</v>
      </c>
      <c r="D29" s="86"/>
      <c r="E29" s="86"/>
      <c r="F29" s="86"/>
      <c r="G29" s="86"/>
      <c r="H29" s="87"/>
      <c r="I29" s="86"/>
      <c r="J29" s="86">
        <v>0</v>
      </c>
      <c r="K29" s="86">
        <v>0</v>
      </c>
      <c r="L29" s="86">
        <v>0</v>
      </c>
      <c r="M29" s="86">
        <v>0</v>
      </c>
      <c r="N29" s="87">
        <f t="shared" si="1"/>
        <v>0</v>
      </c>
    </row>
    <row r="30" spans="2:14" ht="20.100000000000001" customHeight="1">
      <c r="B30" s="282"/>
      <c r="C30" s="85" t="s">
        <v>886</v>
      </c>
      <c r="D30" s="86"/>
      <c r="E30" s="86"/>
      <c r="F30" s="86"/>
      <c r="G30" s="86"/>
      <c r="H30" s="87"/>
      <c r="I30" s="86"/>
      <c r="J30" s="86">
        <v>0</v>
      </c>
      <c r="K30" s="86">
        <v>0</v>
      </c>
      <c r="L30" s="86">
        <v>0</v>
      </c>
      <c r="M30" s="86">
        <v>0</v>
      </c>
      <c r="N30" s="87">
        <f t="shared" si="1"/>
        <v>0</v>
      </c>
    </row>
    <row r="31" spans="2:14" ht="20.100000000000001" customHeight="1">
      <c r="B31" s="282"/>
      <c r="C31" s="85" t="s">
        <v>887</v>
      </c>
      <c r="D31" s="86"/>
      <c r="E31" s="86"/>
      <c r="F31" s="86"/>
      <c r="G31" s="86"/>
      <c r="H31" s="87"/>
      <c r="I31" s="86"/>
      <c r="J31" s="86"/>
      <c r="K31" s="86"/>
      <c r="L31" s="86"/>
      <c r="M31" s="86"/>
      <c r="N31" s="87"/>
    </row>
    <row r="32" spans="2:14" ht="20.100000000000001" customHeight="1">
      <c r="B32" s="282"/>
      <c r="C32" s="85" t="s">
        <v>1233</v>
      </c>
      <c r="D32" s="86"/>
      <c r="E32" s="86"/>
      <c r="F32" s="86"/>
      <c r="G32" s="86"/>
      <c r="H32" s="87"/>
      <c r="I32" s="86"/>
      <c r="J32" s="86"/>
      <c r="K32" s="86"/>
      <c r="L32" s="86"/>
      <c r="M32" s="86"/>
      <c r="N32" s="87"/>
    </row>
    <row r="33" spans="2:14" ht="20.100000000000001" customHeight="1">
      <c r="B33" s="285"/>
      <c r="C33" s="85" t="s">
        <v>1234</v>
      </c>
      <c r="D33" s="86"/>
      <c r="E33" s="86"/>
      <c r="F33" s="86"/>
      <c r="G33" s="86"/>
      <c r="H33" s="87"/>
      <c r="I33" s="86"/>
      <c r="J33" s="86">
        <v>0</v>
      </c>
      <c r="K33" s="86">
        <v>0</v>
      </c>
      <c r="L33" s="86">
        <v>0</v>
      </c>
      <c r="M33" s="86">
        <v>0</v>
      </c>
      <c r="N33" s="87">
        <f t="shared" si="1"/>
        <v>0</v>
      </c>
    </row>
    <row r="34" spans="2:14" ht="19.5" customHeight="1">
      <c r="B34" s="284" t="s">
        <v>326</v>
      </c>
      <c r="C34" s="85" t="s">
        <v>325</v>
      </c>
      <c r="D34" s="86"/>
      <c r="E34" s="86"/>
      <c r="F34" s="86"/>
      <c r="G34" s="86"/>
      <c r="H34" s="87"/>
      <c r="I34" s="86"/>
      <c r="J34" s="86">
        <v>0</v>
      </c>
      <c r="K34" s="86">
        <v>0</v>
      </c>
      <c r="L34" s="86">
        <v>0</v>
      </c>
      <c r="M34" s="86">
        <v>0</v>
      </c>
      <c r="N34" s="87">
        <f t="shared" si="1"/>
        <v>0</v>
      </c>
    </row>
    <row r="35" spans="2:14" ht="20.100000000000001" customHeight="1">
      <c r="B35" s="282"/>
      <c r="C35" s="85" t="s">
        <v>543</v>
      </c>
      <c r="D35" s="86"/>
      <c r="E35" s="86"/>
      <c r="F35" s="86"/>
      <c r="G35" s="86"/>
      <c r="H35" s="87"/>
      <c r="I35" s="86"/>
      <c r="J35" s="86">
        <v>0</v>
      </c>
      <c r="K35" s="86">
        <v>0</v>
      </c>
      <c r="L35" s="86">
        <v>0</v>
      </c>
      <c r="M35" s="86">
        <v>0</v>
      </c>
      <c r="N35" s="87">
        <f t="shared" si="1"/>
        <v>0</v>
      </c>
    </row>
    <row r="36" spans="2:14" ht="20.100000000000001" customHeight="1">
      <c r="B36" s="282"/>
      <c r="C36" s="85" t="s">
        <v>848</v>
      </c>
      <c r="D36" s="86"/>
      <c r="E36" s="86"/>
      <c r="F36" s="86"/>
      <c r="G36" s="86"/>
      <c r="H36" s="87"/>
      <c r="I36" s="86"/>
      <c r="J36" s="86">
        <v>0</v>
      </c>
      <c r="K36" s="86">
        <v>0</v>
      </c>
      <c r="L36" s="86">
        <v>0</v>
      </c>
      <c r="M36" s="86">
        <v>0</v>
      </c>
      <c r="N36" s="87">
        <f t="shared" si="1"/>
        <v>0</v>
      </c>
    </row>
    <row r="37" spans="2:14" ht="20.100000000000001" customHeight="1">
      <c r="B37" s="282"/>
      <c r="C37" s="85" t="s">
        <v>329</v>
      </c>
      <c r="D37" s="86"/>
      <c r="E37" s="86"/>
      <c r="F37" s="86"/>
      <c r="G37" s="86"/>
      <c r="H37" s="87"/>
      <c r="I37" s="86"/>
      <c r="J37" s="86">
        <v>0</v>
      </c>
      <c r="K37" s="86">
        <v>0</v>
      </c>
      <c r="L37" s="86">
        <v>0</v>
      </c>
      <c r="M37" s="86">
        <v>0</v>
      </c>
      <c r="N37" s="87">
        <f t="shared" si="1"/>
        <v>0</v>
      </c>
    </row>
    <row r="38" spans="2:14" ht="20.100000000000001" customHeight="1">
      <c r="B38" s="285"/>
      <c r="C38" s="85" t="s">
        <v>847</v>
      </c>
      <c r="D38" s="86"/>
      <c r="E38" s="86"/>
      <c r="F38" s="86"/>
      <c r="G38" s="86"/>
      <c r="H38" s="87"/>
      <c r="I38" s="86"/>
      <c r="J38" s="86">
        <v>0</v>
      </c>
      <c r="K38" s="86">
        <v>0</v>
      </c>
      <c r="L38" s="86">
        <v>0</v>
      </c>
      <c r="M38" s="86">
        <v>0</v>
      </c>
      <c r="N38" s="87">
        <f t="shared" ref="N38" si="2">M38+L38+K38+J38</f>
        <v>0</v>
      </c>
    </row>
    <row r="39" spans="2:14" ht="20.100000000000001" customHeight="1">
      <c r="B39" s="284" t="s">
        <v>326</v>
      </c>
      <c r="C39" s="85" t="s">
        <v>1235</v>
      </c>
      <c r="D39" s="86"/>
      <c r="E39" s="86"/>
      <c r="F39" s="86"/>
      <c r="G39" s="86"/>
      <c r="H39" s="87"/>
      <c r="I39" s="86"/>
      <c r="J39" s="86">
        <v>0</v>
      </c>
      <c r="K39" s="86">
        <v>0</v>
      </c>
      <c r="L39" s="86">
        <v>0</v>
      </c>
      <c r="M39" s="86">
        <v>0</v>
      </c>
      <c r="N39" s="87">
        <f t="shared" ref="N39" si="3">M39+L39+K39+J39</f>
        <v>0</v>
      </c>
    </row>
    <row r="40" spans="2:14" ht="20.100000000000001" customHeight="1">
      <c r="B40" s="282"/>
      <c r="C40" s="85" t="s">
        <v>1236</v>
      </c>
      <c r="D40" s="86"/>
      <c r="E40" s="86"/>
      <c r="F40" s="86"/>
      <c r="G40" s="86"/>
      <c r="H40" s="87"/>
      <c r="I40" s="86"/>
      <c r="J40" s="86">
        <v>0</v>
      </c>
      <c r="K40" s="86">
        <v>0</v>
      </c>
      <c r="L40" s="86">
        <v>0</v>
      </c>
      <c r="M40" s="86">
        <v>0</v>
      </c>
      <c r="N40" s="87">
        <f t="shared" ref="N40:N41" si="4">M40+L40+K40+J40</f>
        <v>0</v>
      </c>
    </row>
    <row r="41" spans="2:14" ht="20.100000000000001" customHeight="1">
      <c r="B41" s="282"/>
      <c r="C41" s="85" t="s">
        <v>1237</v>
      </c>
      <c r="D41" s="86"/>
      <c r="E41" s="86"/>
      <c r="F41" s="86"/>
      <c r="G41" s="86"/>
      <c r="H41" s="87"/>
      <c r="I41" s="86"/>
      <c r="J41" s="86">
        <v>0</v>
      </c>
      <c r="K41" s="86">
        <v>0</v>
      </c>
      <c r="L41" s="86">
        <v>0</v>
      </c>
      <c r="M41" s="86">
        <v>0</v>
      </c>
      <c r="N41" s="87">
        <f t="shared" si="4"/>
        <v>0</v>
      </c>
    </row>
    <row r="42" spans="2:14" ht="20.100000000000001" customHeight="1">
      <c r="B42" s="282"/>
      <c r="C42" s="85" t="s">
        <v>1238</v>
      </c>
      <c r="D42" s="86"/>
      <c r="E42" s="86"/>
      <c r="F42" s="86"/>
      <c r="G42" s="86"/>
      <c r="H42" s="87"/>
      <c r="I42" s="86"/>
      <c r="J42" s="86">
        <v>0</v>
      </c>
      <c r="K42" s="86">
        <v>0</v>
      </c>
      <c r="L42" s="86">
        <v>0</v>
      </c>
      <c r="M42" s="86">
        <v>0</v>
      </c>
      <c r="N42" s="87">
        <f t="shared" ref="N42" si="5">M42+L42+K42+J42</f>
        <v>0</v>
      </c>
    </row>
    <row r="43" spans="2:14" ht="20.100000000000001" customHeight="1">
      <c r="B43" s="285"/>
      <c r="C43" s="85" t="s">
        <v>847</v>
      </c>
      <c r="D43" s="86"/>
      <c r="E43" s="86"/>
      <c r="F43" s="86"/>
      <c r="G43" s="86"/>
      <c r="H43" s="87"/>
      <c r="I43" s="86"/>
      <c r="J43" s="86">
        <v>0</v>
      </c>
      <c r="K43" s="86">
        <v>0</v>
      </c>
      <c r="L43" s="86">
        <v>0</v>
      </c>
      <c r="M43" s="86">
        <v>0</v>
      </c>
      <c r="N43" s="87">
        <f t="shared" si="1"/>
        <v>0</v>
      </c>
    </row>
    <row r="44" spans="2:14" ht="20.100000000000001" customHeight="1">
      <c r="B44" s="284" t="s">
        <v>330</v>
      </c>
      <c r="C44" s="85" t="s">
        <v>331</v>
      </c>
      <c r="D44" s="86"/>
      <c r="E44" s="86"/>
      <c r="F44" s="86"/>
      <c r="G44" s="86"/>
      <c r="H44" s="87"/>
      <c r="I44" s="86"/>
      <c r="J44" s="86">
        <v>0</v>
      </c>
      <c r="K44" s="86">
        <v>0</v>
      </c>
      <c r="L44" s="86">
        <v>0</v>
      </c>
      <c r="M44" s="86">
        <v>0</v>
      </c>
      <c r="N44" s="87">
        <f t="shared" si="1"/>
        <v>0</v>
      </c>
    </row>
    <row r="45" spans="2:14" ht="20.100000000000001" customHeight="1">
      <c r="B45" s="282"/>
      <c r="C45" s="85" t="s">
        <v>825</v>
      </c>
      <c r="D45" s="86"/>
      <c r="E45" s="86"/>
      <c r="F45" s="86"/>
      <c r="G45" s="86"/>
      <c r="H45" s="87"/>
      <c r="I45" s="86"/>
      <c r="J45" s="86">
        <v>0</v>
      </c>
      <c r="K45" s="86">
        <v>0</v>
      </c>
      <c r="L45" s="86">
        <v>0</v>
      </c>
      <c r="M45" s="86">
        <v>0</v>
      </c>
      <c r="N45" s="87">
        <f t="shared" si="1"/>
        <v>0</v>
      </c>
    </row>
    <row r="46" spans="2:14" ht="20.100000000000001" customHeight="1">
      <c r="B46" s="285"/>
      <c r="C46" s="85" t="s">
        <v>685</v>
      </c>
      <c r="D46" s="86"/>
      <c r="E46" s="86"/>
      <c r="F46" s="86"/>
      <c r="G46" s="86"/>
      <c r="H46" s="87"/>
      <c r="I46" s="86"/>
      <c r="J46" s="86">
        <v>0</v>
      </c>
      <c r="K46" s="86">
        <v>0</v>
      </c>
      <c r="L46" s="86">
        <v>0</v>
      </c>
      <c r="M46" s="86">
        <v>0</v>
      </c>
      <c r="N46" s="87">
        <f t="shared" si="1"/>
        <v>0</v>
      </c>
    </row>
    <row r="47" spans="2:14" ht="20.100000000000001" customHeight="1">
      <c r="B47" s="85" t="s">
        <v>332</v>
      </c>
      <c r="C47" s="85" t="s">
        <v>333</v>
      </c>
      <c r="D47" s="86"/>
      <c r="E47" s="86"/>
      <c r="F47" s="86"/>
      <c r="G47" s="86"/>
      <c r="H47" s="87"/>
      <c r="I47" s="86"/>
      <c r="J47" s="86">
        <v>0</v>
      </c>
      <c r="K47" s="86">
        <v>0</v>
      </c>
      <c r="L47" s="86">
        <v>0</v>
      </c>
      <c r="M47" s="86">
        <v>0</v>
      </c>
      <c r="N47" s="87">
        <f t="shared" si="1"/>
        <v>0</v>
      </c>
    </row>
    <row r="48" spans="2:14" ht="20.100000000000001" customHeight="1">
      <c r="B48" s="85" t="s">
        <v>332</v>
      </c>
      <c r="C48" s="85" t="s">
        <v>1165</v>
      </c>
      <c r="D48" s="86"/>
      <c r="E48" s="86"/>
      <c r="F48" s="86"/>
      <c r="G48" s="86"/>
      <c r="H48" s="87"/>
      <c r="I48" s="86"/>
      <c r="J48" s="86">
        <v>0</v>
      </c>
      <c r="K48" s="86">
        <v>0</v>
      </c>
      <c r="L48" s="86">
        <v>0</v>
      </c>
      <c r="M48" s="86">
        <v>0</v>
      </c>
      <c r="N48" s="87">
        <f t="shared" ref="N48" si="6">M48+L48+K48+J48</f>
        <v>0</v>
      </c>
    </row>
    <row r="49" spans="2:14" ht="20.100000000000001" customHeight="1">
      <c r="B49" s="85" t="s">
        <v>334</v>
      </c>
      <c r="C49" s="85" t="s">
        <v>335</v>
      </c>
      <c r="D49" s="86"/>
      <c r="E49" s="86"/>
      <c r="F49" s="86"/>
      <c r="G49" s="86"/>
      <c r="H49" s="87"/>
      <c r="I49" s="86"/>
      <c r="J49" s="86">
        <v>0</v>
      </c>
      <c r="K49" s="86">
        <v>0</v>
      </c>
      <c r="L49" s="86">
        <v>0</v>
      </c>
      <c r="M49" s="86">
        <v>0</v>
      </c>
      <c r="N49" s="87">
        <f t="shared" si="1"/>
        <v>0</v>
      </c>
    </row>
    <row r="50" spans="2:14" ht="20.100000000000001" customHeight="1">
      <c r="B50" s="85" t="s">
        <v>334</v>
      </c>
      <c r="C50" s="85" t="s">
        <v>1166</v>
      </c>
      <c r="D50" s="86"/>
      <c r="E50" s="86"/>
      <c r="F50" s="86"/>
      <c r="G50" s="86"/>
      <c r="H50" s="87"/>
      <c r="I50" s="86"/>
      <c r="J50" s="86">
        <v>0</v>
      </c>
      <c r="K50" s="86">
        <v>0</v>
      </c>
      <c r="L50" s="86">
        <v>0</v>
      </c>
      <c r="M50" s="86">
        <v>0</v>
      </c>
      <c r="N50" s="87">
        <f t="shared" ref="N50" si="7">M50+L50+K50+J50</f>
        <v>0</v>
      </c>
    </row>
    <row r="51" spans="2:14" ht="20.100000000000001" customHeight="1">
      <c r="B51" s="85" t="s">
        <v>336</v>
      </c>
      <c r="C51" s="85" t="s">
        <v>337</v>
      </c>
      <c r="D51" s="86"/>
      <c r="E51" s="86"/>
      <c r="F51" s="86"/>
      <c r="G51" s="86"/>
      <c r="H51" s="87"/>
      <c r="I51" s="86"/>
      <c r="J51" s="86">
        <v>0</v>
      </c>
      <c r="K51" s="86">
        <v>0</v>
      </c>
      <c r="L51" s="86">
        <v>0</v>
      </c>
      <c r="M51" s="86">
        <v>0</v>
      </c>
      <c r="N51" s="87">
        <f t="shared" si="1"/>
        <v>0</v>
      </c>
    </row>
    <row r="52" spans="2:14" ht="20.100000000000001" customHeight="1">
      <c r="B52" s="85" t="s">
        <v>336</v>
      </c>
      <c r="C52" s="85" t="s">
        <v>1047</v>
      </c>
      <c r="D52" s="86"/>
      <c r="E52" s="86"/>
      <c r="F52" s="86"/>
      <c r="G52" s="86"/>
      <c r="H52" s="87"/>
      <c r="I52" s="86"/>
      <c r="J52" s="86">
        <v>0</v>
      </c>
      <c r="K52" s="86">
        <v>0</v>
      </c>
      <c r="L52" s="86">
        <v>0</v>
      </c>
      <c r="M52" s="86">
        <v>0</v>
      </c>
      <c r="N52" s="87">
        <f t="shared" si="1"/>
        <v>0</v>
      </c>
    </row>
    <row r="53" spans="2:14" ht="20.100000000000001" customHeight="1">
      <c r="B53" s="85" t="s">
        <v>204</v>
      </c>
      <c r="C53" s="85" t="s">
        <v>338</v>
      </c>
      <c r="D53" s="86"/>
      <c r="E53" s="86"/>
      <c r="F53" s="86"/>
      <c r="G53" s="86"/>
      <c r="H53" s="87"/>
      <c r="I53" s="86"/>
      <c r="J53" s="86">
        <v>0</v>
      </c>
      <c r="K53" s="86">
        <v>0</v>
      </c>
      <c r="L53" s="86">
        <v>0</v>
      </c>
      <c r="M53" s="86">
        <v>0</v>
      </c>
      <c r="N53" s="87">
        <f t="shared" si="1"/>
        <v>0</v>
      </c>
    </row>
    <row r="54" spans="2:14" ht="20.100000000000001" customHeight="1">
      <c r="B54" s="85" t="s">
        <v>204</v>
      </c>
      <c r="C54" s="85" t="s">
        <v>205</v>
      </c>
      <c r="D54" s="86"/>
      <c r="E54" s="86"/>
      <c r="F54" s="86"/>
      <c r="G54" s="86"/>
      <c r="H54" s="87"/>
      <c r="I54" s="86"/>
      <c r="J54" s="86">
        <v>0</v>
      </c>
      <c r="K54" s="86">
        <v>0</v>
      </c>
      <c r="L54" s="86">
        <v>0</v>
      </c>
      <c r="M54" s="86">
        <v>0</v>
      </c>
      <c r="N54" s="87">
        <f t="shared" si="1"/>
        <v>0</v>
      </c>
    </row>
    <row r="55" spans="2:14" ht="20.100000000000001" customHeight="1">
      <c r="B55" s="85" t="s">
        <v>339</v>
      </c>
      <c r="C55" s="85" t="s">
        <v>340</v>
      </c>
      <c r="D55" s="86"/>
      <c r="E55" s="86"/>
      <c r="F55" s="86"/>
      <c r="G55" s="86"/>
      <c r="H55" s="87"/>
      <c r="I55" s="86"/>
      <c r="J55" s="86">
        <v>0</v>
      </c>
      <c r="K55" s="86">
        <v>0</v>
      </c>
      <c r="L55" s="86">
        <v>0</v>
      </c>
      <c r="M55" s="86">
        <v>0</v>
      </c>
      <c r="N55" s="87">
        <f t="shared" si="1"/>
        <v>0</v>
      </c>
    </row>
    <row r="56" spans="2:14" ht="20.100000000000001" customHeight="1">
      <c r="B56" s="85" t="s">
        <v>339</v>
      </c>
      <c r="C56" s="85" t="s">
        <v>917</v>
      </c>
      <c r="D56" s="86"/>
      <c r="E56" s="86"/>
      <c r="F56" s="86"/>
      <c r="G56" s="86"/>
      <c r="H56" s="87"/>
      <c r="I56" s="86"/>
      <c r="J56" s="86">
        <v>0</v>
      </c>
      <c r="K56" s="86">
        <v>0</v>
      </c>
      <c r="L56" s="86">
        <v>0</v>
      </c>
      <c r="M56" s="86">
        <v>0</v>
      </c>
      <c r="N56" s="87">
        <f t="shared" si="1"/>
        <v>0</v>
      </c>
    </row>
    <row r="57" spans="2:14" ht="20.100000000000001" customHeight="1">
      <c r="B57" s="85" t="s">
        <v>544</v>
      </c>
      <c r="C57" s="85" t="s">
        <v>545</v>
      </c>
      <c r="D57" s="86"/>
      <c r="E57" s="86"/>
      <c r="F57" s="86"/>
      <c r="G57" s="86"/>
      <c r="H57" s="87"/>
      <c r="I57" s="86"/>
      <c r="J57" s="86">
        <v>0</v>
      </c>
      <c r="K57" s="86">
        <v>0</v>
      </c>
      <c r="L57" s="86">
        <v>0</v>
      </c>
      <c r="M57" s="86">
        <v>0</v>
      </c>
      <c r="N57" s="87">
        <f t="shared" si="1"/>
        <v>0</v>
      </c>
    </row>
    <row r="58" spans="2:14" ht="20.100000000000001" customHeight="1">
      <c r="B58" s="85" t="s">
        <v>546</v>
      </c>
      <c r="C58" s="85" t="s">
        <v>548</v>
      </c>
      <c r="D58" s="86"/>
      <c r="E58" s="86"/>
      <c r="F58" s="86"/>
      <c r="G58" s="86"/>
      <c r="H58" s="87"/>
      <c r="I58" s="86"/>
      <c r="J58" s="86">
        <v>0</v>
      </c>
      <c r="K58" s="86">
        <v>0</v>
      </c>
      <c r="L58" s="86">
        <v>0</v>
      </c>
      <c r="M58" s="86">
        <v>0</v>
      </c>
      <c r="N58" s="87">
        <f t="shared" si="1"/>
        <v>0</v>
      </c>
    </row>
    <row r="59" spans="2:14" ht="20.100000000000001" customHeight="1">
      <c r="B59" s="85" t="s">
        <v>546</v>
      </c>
      <c r="C59" s="85" t="s">
        <v>547</v>
      </c>
      <c r="D59" s="86"/>
      <c r="E59" s="86"/>
      <c r="F59" s="86"/>
      <c r="G59" s="86"/>
      <c r="H59" s="87"/>
      <c r="I59" s="86"/>
      <c r="J59" s="86">
        <v>0</v>
      </c>
      <c r="K59" s="86">
        <v>0</v>
      </c>
      <c r="L59" s="86">
        <v>0</v>
      </c>
      <c r="M59" s="86">
        <v>0</v>
      </c>
      <c r="N59" s="87">
        <f t="shared" si="1"/>
        <v>0</v>
      </c>
    </row>
    <row r="60" spans="2:14" ht="20.100000000000001" customHeight="1">
      <c r="B60" s="85" t="s">
        <v>206</v>
      </c>
      <c r="C60" s="85" t="s">
        <v>207</v>
      </c>
      <c r="D60" s="86"/>
      <c r="E60" s="86"/>
      <c r="F60" s="86"/>
      <c r="G60" s="86"/>
      <c r="H60" s="87"/>
      <c r="I60" s="86"/>
      <c r="J60" s="86">
        <v>0</v>
      </c>
      <c r="K60" s="86">
        <v>0</v>
      </c>
      <c r="L60" s="86">
        <v>0</v>
      </c>
      <c r="M60" s="86">
        <v>0</v>
      </c>
      <c r="N60" s="87">
        <f t="shared" si="1"/>
        <v>0</v>
      </c>
    </row>
    <row r="61" spans="2:14" ht="20.100000000000001" customHeight="1">
      <c r="B61" s="85" t="s">
        <v>206</v>
      </c>
      <c r="C61" s="85" t="s">
        <v>549</v>
      </c>
      <c r="D61" s="86"/>
      <c r="E61" s="86"/>
      <c r="F61" s="86"/>
      <c r="G61" s="86"/>
      <c r="H61" s="87"/>
      <c r="I61" s="86"/>
      <c r="J61" s="86">
        <v>0</v>
      </c>
      <c r="K61" s="86">
        <v>0</v>
      </c>
      <c r="L61" s="86">
        <v>0</v>
      </c>
      <c r="M61" s="86">
        <v>0</v>
      </c>
      <c r="N61" s="87">
        <f t="shared" ref="N61:N97" si="8">M61+L61+K61+J61</f>
        <v>0</v>
      </c>
    </row>
    <row r="62" spans="2:14" ht="20.100000000000001" customHeight="1">
      <c r="B62" s="85" t="s">
        <v>208</v>
      </c>
      <c r="C62" s="85" t="s">
        <v>209</v>
      </c>
      <c r="D62" s="86"/>
      <c r="E62" s="86"/>
      <c r="F62" s="86"/>
      <c r="G62" s="86"/>
      <c r="H62" s="87"/>
      <c r="I62" s="86"/>
      <c r="J62" s="86">
        <v>0</v>
      </c>
      <c r="K62" s="86">
        <v>0</v>
      </c>
      <c r="L62" s="86">
        <v>0</v>
      </c>
      <c r="M62" s="86">
        <v>0</v>
      </c>
      <c r="N62" s="87">
        <f t="shared" si="8"/>
        <v>0</v>
      </c>
    </row>
    <row r="63" spans="2:14" ht="20.100000000000001" customHeight="1">
      <c r="B63" s="85" t="s">
        <v>208</v>
      </c>
      <c r="C63" s="85" t="s">
        <v>341</v>
      </c>
      <c r="D63" s="86"/>
      <c r="E63" s="86"/>
      <c r="F63" s="86"/>
      <c r="G63" s="86"/>
      <c r="H63" s="87"/>
      <c r="I63" s="86"/>
      <c r="J63" s="86">
        <v>0</v>
      </c>
      <c r="K63" s="86">
        <v>0</v>
      </c>
      <c r="L63" s="86">
        <v>0</v>
      </c>
      <c r="M63" s="86">
        <v>0</v>
      </c>
      <c r="N63" s="87">
        <f t="shared" si="8"/>
        <v>0</v>
      </c>
    </row>
    <row r="64" spans="2:14" ht="20.100000000000001" customHeight="1">
      <c r="B64" s="85" t="s">
        <v>888</v>
      </c>
      <c r="C64" s="85" t="s">
        <v>889</v>
      </c>
      <c r="D64" s="86"/>
      <c r="E64" s="86"/>
      <c r="F64" s="86"/>
      <c r="G64" s="86"/>
      <c r="H64" s="87"/>
      <c r="I64" s="86"/>
      <c r="J64" s="86">
        <v>0</v>
      </c>
      <c r="K64" s="86">
        <v>0</v>
      </c>
      <c r="L64" s="86">
        <v>0</v>
      </c>
      <c r="M64" s="86">
        <v>0</v>
      </c>
      <c r="N64" s="87">
        <f t="shared" si="8"/>
        <v>0</v>
      </c>
    </row>
    <row r="65" spans="2:14" ht="20.100000000000001" customHeight="1">
      <c r="B65" s="85" t="s">
        <v>1116</v>
      </c>
      <c r="C65" s="85" t="s">
        <v>1117</v>
      </c>
      <c r="D65" s="86"/>
      <c r="E65" s="86"/>
      <c r="F65" s="86"/>
      <c r="G65" s="86"/>
      <c r="H65" s="87"/>
      <c r="I65" s="86"/>
      <c r="J65" s="86">
        <v>0</v>
      </c>
      <c r="K65" s="86">
        <v>0</v>
      </c>
      <c r="L65" s="86">
        <v>0</v>
      </c>
      <c r="M65" s="86">
        <v>0</v>
      </c>
      <c r="N65" s="87">
        <f t="shared" si="8"/>
        <v>0</v>
      </c>
    </row>
    <row r="66" spans="2:14" ht="20.100000000000001" customHeight="1">
      <c r="B66" s="85" t="s">
        <v>391</v>
      </c>
      <c r="C66" s="85" t="s">
        <v>393</v>
      </c>
      <c r="D66" s="86"/>
      <c r="E66" s="86"/>
      <c r="F66" s="86"/>
      <c r="G66" s="86"/>
      <c r="H66" s="87"/>
      <c r="I66" s="86"/>
      <c r="J66" s="86">
        <v>0</v>
      </c>
      <c r="K66" s="86">
        <v>0</v>
      </c>
      <c r="L66" s="86">
        <v>0</v>
      </c>
      <c r="M66" s="86">
        <v>0</v>
      </c>
      <c r="N66" s="87">
        <f t="shared" si="8"/>
        <v>0</v>
      </c>
    </row>
    <row r="67" spans="2:14" ht="20.100000000000001" customHeight="1">
      <c r="B67" s="85" t="s">
        <v>603</v>
      </c>
      <c r="C67" s="85" t="s">
        <v>604</v>
      </c>
      <c r="D67" s="86"/>
      <c r="E67" s="86"/>
      <c r="F67" s="86"/>
      <c r="G67" s="86"/>
      <c r="H67" s="87"/>
      <c r="I67" s="86"/>
      <c r="J67" s="86">
        <v>0</v>
      </c>
      <c r="K67" s="86">
        <v>0</v>
      </c>
      <c r="L67" s="86">
        <v>0</v>
      </c>
      <c r="M67" s="86">
        <v>0</v>
      </c>
      <c r="N67" s="87">
        <f t="shared" si="8"/>
        <v>0</v>
      </c>
    </row>
    <row r="68" spans="2:14" ht="20.100000000000001" customHeight="1">
      <c r="B68" s="85" t="s">
        <v>603</v>
      </c>
      <c r="C68" s="85" t="s">
        <v>1298</v>
      </c>
      <c r="D68" s="86"/>
      <c r="E68" s="86"/>
      <c r="F68" s="86"/>
      <c r="G68" s="86"/>
      <c r="H68" s="87"/>
      <c r="I68" s="86"/>
      <c r="J68" s="86">
        <v>0</v>
      </c>
      <c r="K68" s="86">
        <v>0</v>
      </c>
      <c r="L68" s="86">
        <v>0</v>
      </c>
      <c r="M68" s="86">
        <v>0</v>
      </c>
      <c r="N68" s="87">
        <f t="shared" ref="N68" si="9">M68+L68+K68+J68</f>
        <v>0</v>
      </c>
    </row>
    <row r="69" spans="2:14" ht="20.100000000000001" customHeight="1">
      <c r="B69" s="85" t="s">
        <v>392</v>
      </c>
      <c r="C69" s="85" t="s">
        <v>394</v>
      </c>
      <c r="D69" s="86"/>
      <c r="E69" s="86"/>
      <c r="F69" s="86"/>
      <c r="G69" s="86"/>
      <c r="H69" s="87"/>
      <c r="I69" s="86"/>
      <c r="J69" s="86">
        <v>0</v>
      </c>
      <c r="K69" s="86">
        <v>0</v>
      </c>
      <c r="L69" s="86">
        <v>0</v>
      </c>
      <c r="M69" s="86">
        <v>0</v>
      </c>
      <c r="N69" s="87">
        <f t="shared" si="8"/>
        <v>0</v>
      </c>
    </row>
    <row r="70" spans="2:14" ht="20.100000000000001" customHeight="1">
      <c r="B70" s="85" t="s">
        <v>392</v>
      </c>
      <c r="C70" s="85" t="s">
        <v>1299</v>
      </c>
      <c r="D70" s="86"/>
      <c r="E70" s="86"/>
      <c r="F70" s="86"/>
      <c r="G70" s="86"/>
      <c r="H70" s="87"/>
      <c r="I70" s="86"/>
      <c r="J70" s="86">
        <v>0</v>
      </c>
      <c r="K70" s="86">
        <v>0</v>
      </c>
      <c r="L70" s="86">
        <v>0</v>
      </c>
      <c r="M70" s="86">
        <v>0</v>
      </c>
      <c r="N70" s="87">
        <f t="shared" ref="N70" si="10">M70+L70+K70+J70</f>
        <v>0</v>
      </c>
    </row>
    <row r="71" spans="2:14" ht="20.100000000000001" customHeight="1">
      <c r="B71" s="85" t="s">
        <v>860</v>
      </c>
      <c r="C71" s="85" t="s">
        <v>861</v>
      </c>
      <c r="D71" s="86"/>
      <c r="E71" s="86"/>
      <c r="F71" s="86"/>
      <c r="G71" s="86"/>
      <c r="H71" s="87"/>
      <c r="I71" s="86"/>
      <c r="J71" s="86">
        <v>0</v>
      </c>
      <c r="K71" s="86">
        <v>0</v>
      </c>
      <c r="L71" s="86">
        <v>0</v>
      </c>
      <c r="M71" s="86">
        <v>0</v>
      </c>
      <c r="N71" s="87">
        <f t="shared" si="8"/>
        <v>0</v>
      </c>
    </row>
    <row r="72" spans="2:14" ht="20.100000000000001" customHeight="1">
      <c r="B72" s="85" t="s">
        <v>1003</v>
      </c>
      <c r="C72" s="85" t="s">
        <v>1004</v>
      </c>
      <c r="D72" s="86"/>
      <c r="E72" s="86"/>
      <c r="F72" s="86"/>
      <c r="G72" s="86"/>
      <c r="H72" s="87"/>
      <c r="I72" s="86"/>
      <c r="J72" s="86">
        <v>0</v>
      </c>
      <c r="K72" s="86">
        <v>0</v>
      </c>
      <c r="L72" s="86">
        <v>0</v>
      </c>
      <c r="M72" s="86">
        <v>0</v>
      </c>
      <c r="N72" s="87">
        <f t="shared" si="8"/>
        <v>0</v>
      </c>
    </row>
    <row r="73" spans="2:14" ht="20.100000000000001" customHeight="1">
      <c r="B73" s="85" t="s">
        <v>395</v>
      </c>
      <c r="C73" s="85" t="s">
        <v>396</v>
      </c>
      <c r="D73" s="86"/>
      <c r="E73" s="86"/>
      <c r="F73" s="86"/>
      <c r="G73" s="86"/>
      <c r="H73" s="87"/>
      <c r="I73" s="86"/>
      <c r="J73" s="86">
        <v>0</v>
      </c>
      <c r="K73" s="86">
        <v>0</v>
      </c>
      <c r="L73" s="86">
        <v>0</v>
      </c>
      <c r="M73" s="86">
        <v>0</v>
      </c>
      <c r="N73" s="87">
        <f t="shared" si="8"/>
        <v>0</v>
      </c>
    </row>
    <row r="74" spans="2:14" ht="20.100000000000001" customHeight="1">
      <c r="B74" s="85" t="s">
        <v>395</v>
      </c>
      <c r="C74" s="85" t="s">
        <v>1300</v>
      </c>
      <c r="D74" s="86"/>
      <c r="E74" s="86"/>
      <c r="F74" s="86"/>
      <c r="G74" s="86"/>
      <c r="H74" s="87"/>
      <c r="I74" s="86"/>
      <c r="J74" s="86">
        <v>0</v>
      </c>
      <c r="K74" s="86">
        <v>0</v>
      </c>
      <c r="L74" s="86">
        <v>0</v>
      </c>
      <c r="M74" s="86">
        <v>0</v>
      </c>
      <c r="N74" s="87">
        <f t="shared" ref="N74" si="11">M74+L74+K74+J74</f>
        <v>0</v>
      </c>
    </row>
    <row r="75" spans="2:14" ht="20.100000000000001" customHeight="1">
      <c r="B75" s="85" t="s">
        <v>1063</v>
      </c>
      <c r="C75" s="85" t="s">
        <v>1064</v>
      </c>
      <c r="D75" s="86"/>
      <c r="E75" s="86"/>
      <c r="F75" s="86"/>
      <c r="G75" s="86"/>
      <c r="H75" s="87"/>
      <c r="I75" s="86"/>
      <c r="J75" s="86">
        <v>0</v>
      </c>
      <c r="K75" s="86">
        <v>0</v>
      </c>
      <c r="L75" s="86">
        <v>0</v>
      </c>
      <c r="M75" s="86">
        <v>0</v>
      </c>
      <c r="N75" s="87">
        <f t="shared" si="8"/>
        <v>0</v>
      </c>
    </row>
    <row r="76" spans="2:14" ht="20.100000000000001" customHeight="1">
      <c r="B76" s="85" t="s">
        <v>397</v>
      </c>
      <c r="C76" s="85" t="s">
        <v>398</v>
      </c>
      <c r="D76" s="86"/>
      <c r="E76" s="86"/>
      <c r="F76" s="86"/>
      <c r="G76" s="86"/>
      <c r="H76" s="87"/>
      <c r="I76" s="86"/>
      <c r="J76" s="86">
        <v>0</v>
      </c>
      <c r="K76" s="86">
        <v>0</v>
      </c>
      <c r="L76" s="86">
        <v>0</v>
      </c>
      <c r="M76" s="86">
        <v>0</v>
      </c>
      <c r="N76" s="87">
        <f t="shared" si="8"/>
        <v>0</v>
      </c>
    </row>
    <row r="77" spans="2:14" ht="20.100000000000001" customHeight="1">
      <c r="B77" s="85" t="s">
        <v>255</v>
      </c>
      <c r="C77" s="85" t="s">
        <v>913</v>
      </c>
      <c r="D77" s="86"/>
      <c r="E77" s="86"/>
      <c r="F77" s="86"/>
      <c r="G77" s="86"/>
      <c r="H77" s="87"/>
      <c r="I77" s="86"/>
      <c r="J77" s="86">
        <v>0</v>
      </c>
      <c r="K77" s="86">
        <v>0</v>
      </c>
      <c r="L77" s="86">
        <v>0</v>
      </c>
      <c r="M77" s="86">
        <v>0</v>
      </c>
      <c r="N77" s="87">
        <f t="shared" si="8"/>
        <v>0</v>
      </c>
    </row>
    <row r="78" spans="2:14" ht="20.100000000000001" customHeight="1">
      <c r="B78" s="85" t="s">
        <v>255</v>
      </c>
      <c r="C78" s="85" t="s">
        <v>814</v>
      </c>
      <c r="D78" s="86"/>
      <c r="E78" s="86"/>
      <c r="F78" s="86"/>
      <c r="G78" s="86"/>
      <c r="H78" s="87"/>
      <c r="I78" s="86"/>
      <c r="J78" s="86">
        <v>0</v>
      </c>
      <c r="K78" s="86">
        <v>0</v>
      </c>
      <c r="L78" s="86">
        <v>0</v>
      </c>
      <c r="M78" s="86">
        <v>0</v>
      </c>
      <c r="N78" s="87">
        <f t="shared" si="8"/>
        <v>0</v>
      </c>
    </row>
    <row r="79" spans="2:14" ht="20.100000000000001" customHeight="1">
      <c r="B79" s="85" t="s">
        <v>254</v>
      </c>
      <c r="C79" s="85" t="s">
        <v>400</v>
      </c>
      <c r="D79" s="86"/>
      <c r="E79" s="86"/>
      <c r="F79" s="86"/>
      <c r="G79" s="86"/>
      <c r="H79" s="87"/>
      <c r="I79" s="86"/>
      <c r="J79" s="86">
        <v>0</v>
      </c>
      <c r="K79" s="86">
        <v>0</v>
      </c>
      <c r="L79" s="86">
        <v>0</v>
      </c>
      <c r="M79" s="86">
        <v>0</v>
      </c>
      <c r="N79" s="87">
        <f t="shared" si="8"/>
        <v>0</v>
      </c>
    </row>
    <row r="80" spans="2:14" ht="20.100000000000001" customHeight="1">
      <c r="B80" s="85" t="s">
        <v>399</v>
      </c>
      <c r="C80" s="85" t="s">
        <v>862</v>
      </c>
      <c r="D80" s="86"/>
      <c r="E80" s="86"/>
      <c r="F80" s="86"/>
      <c r="G80" s="86"/>
      <c r="H80" s="87"/>
      <c r="I80" s="86"/>
      <c r="J80" s="86">
        <v>0</v>
      </c>
      <c r="K80" s="86">
        <v>0</v>
      </c>
      <c r="L80" s="86">
        <v>0</v>
      </c>
      <c r="M80" s="86">
        <v>0</v>
      </c>
      <c r="N80" s="87">
        <f t="shared" si="8"/>
        <v>0</v>
      </c>
    </row>
    <row r="81" spans="2:14" ht="20.100000000000001" customHeight="1">
      <c r="B81" s="85" t="s">
        <v>399</v>
      </c>
      <c r="C81" s="85" t="s">
        <v>1249</v>
      </c>
      <c r="D81" s="86"/>
      <c r="E81" s="86"/>
      <c r="F81" s="86"/>
      <c r="G81" s="86"/>
      <c r="H81" s="87"/>
      <c r="I81" s="86"/>
      <c r="J81" s="86">
        <v>0</v>
      </c>
      <c r="K81" s="86">
        <v>0</v>
      </c>
      <c r="L81" s="86">
        <v>0</v>
      </c>
      <c r="M81" s="86">
        <v>0</v>
      </c>
      <c r="N81" s="87">
        <f t="shared" ref="N81" si="12">M81+L81+K81+J81</f>
        <v>0</v>
      </c>
    </row>
    <row r="82" spans="2:14" ht="20.100000000000001" customHeight="1">
      <c r="B82" s="85" t="s">
        <v>402</v>
      </c>
      <c r="C82" s="85" t="s">
        <v>256</v>
      </c>
      <c r="D82" s="86"/>
      <c r="E82" s="86"/>
      <c r="F82" s="86"/>
      <c r="G82" s="86"/>
      <c r="H82" s="87"/>
      <c r="I82" s="86"/>
      <c r="J82" s="86">
        <v>0</v>
      </c>
      <c r="K82" s="86">
        <v>0</v>
      </c>
      <c r="L82" s="86">
        <v>0</v>
      </c>
      <c r="M82" s="86">
        <v>0</v>
      </c>
      <c r="N82" s="87">
        <f t="shared" si="8"/>
        <v>0</v>
      </c>
    </row>
    <row r="83" spans="2:14" ht="20.100000000000001" customHeight="1">
      <c r="B83" s="85" t="s">
        <v>402</v>
      </c>
      <c r="C83" s="85" t="s">
        <v>863</v>
      </c>
      <c r="D83" s="86"/>
      <c r="E83" s="86"/>
      <c r="F83" s="86"/>
      <c r="G83" s="86"/>
      <c r="H83" s="87"/>
      <c r="I83" s="86"/>
      <c r="J83" s="86">
        <v>0</v>
      </c>
      <c r="K83" s="86">
        <v>0</v>
      </c>
      <c r="L83" s="86">
        <v>0</v>
      </c>
      <c r="M83" s="86">
        <v>0</v>
      </c>
      <c r="N83" s="87">
        <f t="shared" si="8"/>
        <v>0</v>
      </c>
    </row>
    <row r="84" spans="2:14" ht="20.100000000000001" customHeight="1">
      <c r="B84" s="85" t="s">
        <v>403</v>
      </c>
      <c r="C84" s="85" t="s">
        <v>401</v>
      </c>
      <c r="D84" s="86"/>
      <c r="E84" s="86"/>
      <c r="F84" s="86"/>
      <c r="G84" s="86"/>
      <c r="H84" s="87"/>
      <c r="I84" s="86"/>
      <c r="J84" s="86">
        <v>0</v>
      </c>
      <c r="K84" s="86">
        <v>0</v>
      </c>
      <c r="L84" s="86">
        <v>0</v>
      </c>
      <c r="M84" s="86">
        <v>0</v>
      </c>
      <c r="N84" s="87">
        <f t="shared" si="8"/>
        <v>0</v>
      </c>
    </row>
    <row r="85" spans="2:14" ht="20.100000000000001" customHeight="1">
      <c r="B85" s="85" t="s">
        <v>403</v>
      </c>
      <c r="C85" s="85" t="s">
        <v>864</v>
      </c>
      <c r="D85" s="86"/>
      <c r="E85" s="86"/>
      <c r="F85" s="86"/>
      <c r="G85" s="86"/>
      <c r="H85" s="87"/>
      <c r="I85" s="86"/>
      <c r="J85" s="86">
        <v>0</v>
      </c>
      <c r="K85" s="86">
        <v>0</v>
      </c>
      <c r="L85" s="86">
        <v>0</v>
      </c>
      <c r="M85" s="86">
        <v>0</v>
      </c>
      <c r="N85" s="87">
        <f t="shared" si="8"/>
        <v>0</v>
      </c>
    </row>
    <row r="86" spans="2:14" ht="20.100000000000001" customHeight="1">
      <c r="B86" s="85" t="s">
        <v>404</v>
      </c>
      <c r="C86" s="85" t="s">
        <v>509</v>
      </c>
      <c r="D86" s="86"/>
      <c r="E86" s="86"/>
      <c r="F86" s="86"/>
      <c r="G86" s="86"/>
      <c r="H86" s="87"/>
      <c r="I86" s="86"/>
      <c r="J86" s="86">
        <v>0</v>
      </c>
      <c r="K86" s="86">
        <v>0</v>
      </c>
      <c r="L86" s="86">
        <v>0</v>
      </c>
      <c r="M86" s="86">
        <v>0</v>
      </c>
      <c r="N86" s="87">
        <f t="shared" si="8"/>
        <v>0</v>
      </c>
    </row>
    <row r="87" spans="2:14" ht="20.100000000000001" customHeight="1">
      <c r="B87" s="85" t="s">
        <v>605</v>
      </c>
      <c r="C87" s="85" t="s">
        <v>606</v>
      </c>
      <c r="D87" s="86"/>
      <c r="E87" s="86"/>
      <c r="F87" s="86"/>
      <c r="G87" s="86"/>
      <c r="H87" s="87"/>
      <c r="I87" s="86"/>
      <c r="J87" s="86">
        <v>0</v>
      </c>
      <c r="K87" s="86">
        <v>0</v>
      </c>
      <c r="L87" s="86">
        <v>0</v>
      </c>
      <c r="M87" s="86">
        <v>0</v>
      </c>
      <c r="N87" s="87">
        <f t="shared" si="8"/>
        <v>0</v>
      </c>
    </row>
    <row r="88" spans="2:14" ht="20.100000000000001" customHeight="1">
      <c r="B88" s="85" t="s">
        <v>257</v>
      </c>
      <c r="C88" s="85" t="s">
        <v>258</v>
      </c>
      <c r="D88" s="86"/>
      <c r="E88" s="86"/>
      <c r="F88" s="86"/>
      <c r="G88" s="86"/>
      <c r="H88" s="87"/>
      <c r="I88" s="86"/>
      <c r="J88" s="86">
        <v>0</v>
      </c>
      <c r="K88" s="86">
        <v>0</v>
      </c>
      <c r="L88" s="86">
        <v>0</v>
      </c>
      <c r="M88" s="86">
        <v>0</v>
      </c>
      <c r="N88" s="87">
        <f t="shared" si="8"/>
        <v>0</v>
      </c>
    </row>
    <row r="89" spans="2:14" ht="20.100000000000001" customHeight="1">
      <c r="B89" s="85" t="s">
        <v>257</v>
      </c>
      <c r="C89" s="85" t="s">
        <v>865</v>
      </c>
      <c r="D89" s="86"/>
      <c r="E89" s="86"/>
      <c r="F89" s="86"/>
      <c r="G89" s="86"/>
      <c r="H89" s="87"/>
      <c r="I89" s="86"/>
      <c r="J89" s="86"/>
      <c r="K89" s="86">
        <v>0</v>
      </c>
      <c r="L89" s="86">
        <v>0</v>
      </c>
      <c r="M89" s="86">
        <v>0</v>
      </c>
      <c r="N89" s="87">
        <f t="shared" si="8"/>
        <v>0</v>
      </c>
    </row>
    <row r="90" spans="2:14" ht="20.100000000000001" customHeight="1">
      <c r="B90" s="85" t="s">
        <v>259</v>
      </c>
      <c r="C90" s="85" t="s">
        <v>260</v>
      </c>
      <c r="D90" s="86"/>
      <c r="E90" s="86"/>
      <c r="F90" s="86"/>
      <c r="G90" s="86"/>
      <c r="H90" s="87"/>
      <c r="I90" s="86"/>
      <c r="J90" s="86">
        <v>0</v>
      </c>
      <c r="K90" s="86">
        <v>0</v>
      </c>
      <c r="L90" s="86">
        <v>0</v>
      </c>
      <c r="M90" s="86">
        <v>0</v>
      </c>
      <c r="N90" s="87">
        <f t="shared" si="8"/>
        <v>0</v>
      </c>
    </row>
    <row r="91" spans="2:14" ht="20.100000000000001" customHeight="1">
      <c r="B91" s="85" t="s">
        <v>259</v>
      </c>
      <c r="C91" s="85" t="s">
        <v>1171</v>
      </c>
      <c r="D91" s="86"/>
      <c r="E91" s="86"/>
      <c r="F91" s="86"/>
      <c r="G91" s="86"/>
      <c r="H91" s="87"/>
      <c r="I91" s="86"/>
      <c r="J91" s="86">
        <v>0</v>
      </c>
      <c r="K91" s="86">
        <v>0</v>
      </c>
      <c r="L91" s="86">
        <v>0</v>
      </c>
      <c r="M91" s="86">
        <v>0</v>
      </c>
      <c r="N91" s="87">
        <f t="shared" ref="N91" si="13">M91+L91+K91+J91</f>
        <v>0</v>
      </c>
    </row>
    <row r="92" spans="2:14" ht="20.100000000000001" customHeight="1">
      <c r="B92" s="85" t="s">
        <v>259</v>
      </c>
      <c r="C92" s="85" t="s">
        <v>866</v>
      </c>
      <c r="D92" s="86"/>
      <c r="E92" s="86"/>
      <c r="F92" s="86"/>
      <c r="G92" s="86"/>
      <c r="H92" s="87"/>
      <c r="I92" s="86"/>
      <c r="J92" s="86">
        <v>0</v>
      </c>
      <c r="K92" s="86">
        <v>0</v>
      </c>
      <c r="L92" s="86">
        <v>0</v>
      </c>
      <c r="M92" s="86">
        <v>0</v>
      </c>
      <c r="N92" s="87">
        <f t="shared" si="8"/>
        <v>0</v>
      </c>
    </row>
    <row r="93" spans="2:14" ht="20.100000000000001" customHeight="1">
      <c r="B93" s="85" t="s">
        <v>416</v>
      </c>
      <c r="C93" s="85" t="s">
        <v>417</v>
      </c>
      <c r="D93" s="86"/>
      <c r="E93" s="86"/>
      <c r="F93" s="86"/>
      <c r="G93" s="86"/>
      <c r="H93" s="87"/>
      <c r="I93" s="86"/>
      <c r="J93" s="86">
        <v>0</v>
      </c>
      <c r="K93" s="86">
        <v>0</v>
      </c>
      <c r="L93" s="86">
        <v>0</v>
      </c>
      <c r="M93" s="86">
        <v>0</v>
      </c>
      <c r="N93" s="87">
        <f t="shared" si="8"/>
        <v>0</v>
      </c>
    </row>
    <row r="94" spans="2:14" ht="20.100000000000001" customHeight="1">
      <c r="B94" s="85" t="s">
        <v>416</v>
      </c>
      <c r="C94" s="85" t="s">
        <v>633</v>
      </c>
      <c r="D94" s="86"/>
      <c r="E94" s="86"/>
      <c r="F94" s="86"/>
      <c r="G94" s="86"/>
      <c r="H94" s="87"/>
      <c r="I94" s="86"/>
      <c r="J94" s="86">
        <v>0</v>
      </c>
      <c r="K94" s="86">
        <v>0</v>
      </c>
      <c r="L94" s="86">
        <v>0</v>
      </c>
      <c r="M94" s="86">
        <v>0</v>
      </c>
      <c r="N94" s="87">
        <f t="shared" si="8"/>
        <v>0</v>
      </c>
    </row>
    <row r="95" spans="2:14" ht="20.100000000000001" customHeight="1">
      <c r="B95" s="85" t="s">
        <v>634</v>
      </c>
      <c r="C95" s="85" t="s">
        <v>635</v>
      </c>
      <c r="D95" s="86"/>
      <c r="E95" s="86"/>
      <c r="F95" s="86"/>
      <c r="G95" s="86"/>
      <c r="H95" s="87"/>
      <c r="I95" s="86"/>
      <c r="J95" s="86">
        <v>0</v>
      </c>
      <c r="K95" s="86">
        <v>0</v>
      </c>
      <c r="L95" s="86">
        <v>0</v>
      </c>
      <c r="M95" s="86">
        <v>0</v>
      </c>
      <c r="N95" s="87">
        <f t="shared" si="8"/>
        <v>0</v>
      </c>
    </row>
    <row r="96" spans="2:14" ht="20.100000000000001" customHeight="1">
      <c r="B96" s="85" t="s">
        <v>688</v>
      </c>
      <c r="C96" s="85" t="s">
        <v>689</v>
      </c>
      <c r="D96" s="86"/>
      <c r="E96" s="86"/>
      <c r="F96" s="86"/>
      <c r="G96" s="86"/>
      <c r="H96" s="87"/>
      <c r="I96" s="86"/>
      <c r="J96" s="86">
        <v>0</v>
      </c>
      <c r="K96" s="86">
        <v>0</v>
      </c>
      <c r="L96" s="86">
        <v>0</v>
      </c>
      <c r="M96" s="86">
        <v>0</v>
      </c>
      <c r="N96" s="87">
        <f t="shared" si="8"/>
        <v>0</v>
      </c>
    </row>
    <row r="97" spans="2:14" ht="20.100000000000001" customHeight="1">
      <c r="B97" s="85" t="s">
        <v>690</v>
      </c>
      <c r="C97" s="85" t="s">
        <v>783</v>
      </c>
      <c r="D97" s="86"/>
      <c r="E97" s="86"/>
      <c r="F97" s="86"/>
      <c r="G97" s="86"/>
      <c r="H97" s="87"/>
      <c r="I97" s="86"/>
      <c r="J97" s="86">
        <v>0</v>
      </c>
      <c r="K97" s="86">
        <v>0</v>
      </c>
      <c r="L97" s="86">
        <v>0</v>
      </c>
      <c r="M97" s="86">
        <v>0</v>
      </c>
      <c r="N97" s="87">
        <f t="shared" si="8"/>
        <v>0</v>
      </c>
    </row>
    <row r="98" spans="2:14" ht="20.100000000000001" customHeight="1">
      <c r="B98" s="85" t="s">
        <v>636</v>
      </c>
      <c r="C98" s="85" t="s">
        <v>637</v>
      </c>
      <c r="D98" s="86"/>
      <c r="E98" s="86"/>
      <c r="F98" s="86"/>
      <c r="G98" s="86"/>
      <c r="H98" s="87"/>
      <c r="I98" s="86"/>
      <c r="J98" s="86">
        <v>0</v>
      </c>
      <c r="K98" s="86">
        <v>0</v>
      </c>
      <c r="L98" s="86">
        <v>0</v>
      </c>
      <c r="M98" s="86">
        <v>0</v>
      </c>
      <c r="N98" s="87">
        <f t="shared" ref="N98:N124" si="14">M98+L98+K98+J98</f>
        <v>0</v>
      </c>
    </row>
    <row r="99" spans="2:14" ht="20.100000000000001" customHeight="1">
      <c r="B99" s="85" t="s">
        <v>1250</v>
      </c>
      <c r="C99" s="85" t="s">
        <v>1251</v>
      </c>
      <c r="D99" s="86"/>
      <c r="E99" s="86"/>
      <c r="F99" s="86"/>
      <c r="G99" s="86"/>
      <c r="H99" s="87"/>
      <c r="I99" s="86"/>
      <c r="J99" s="86">
        <v>0</v>
      </c>
      <c r="K99" s="86">
        <v>0</v>
      </c>
      <c r="L99" s="86">
        <v>0</v>
      </c>
      <c r="M99" s="86">
        <v>0</v>
      </c>
      <c r="N99" s="87">
        <f t="shared" si="14"/>
        <v>0</v>
      </c>
    </row>
    <row r="100" spans="2:14" ht="20.100000000000001" customHeight="1">
      <c r="B100" s="85" t="s">
        <v>447</v>
      </c>
      <c r="C100" s="85" t="s">
        <v>448</v>
      </c>
      <c r="D100" s="86"/>
      <c r="E100" s="86"/>
      <c r="F100" s="86"/>
      <c r="G100" s="86"/>
      <c r="H100" s="87"/>
      <c r="I100" s="86"/>
      <c r="J100" s="86">
        <v>0</v>
      </c>
      <c r="K100" s="86">
        <v>0</v>
      </c>
      <c r="L100" s="86">
        <v>0</v>
      </c>
      <c r="M100" s="86">
        <v>0</v>
      </c>
      <c r="N100" s="87">
        <f t="shared" si="14"/>
        <v>0</v>
      </c>
    </row>
    <row r="101" spans="2:14" ht="20.100000000000001" customHeight="1">
      <c r="B101" s="85" t="s">
        <v>926</v>
      </c>
      <c r="C101" s="85" t="s">
        <v>1258</v>
      </c>
      <c r="D101" s="86"/>
      <c r="E101" s="86"/>
      <c r="F101" s="86"/>
      <c r="G101" s="86"/>
      <c r="H101" s="87"/>
      <c r="I101" s="86"/>
      <c r="J101" s="86">
        <v>0</v>
      </c>
      <c r="K101" s="86">
        <v>0</v>
      </c>
      <c r="L101" s="86">
        <v>0</v>
      </c>
      <c r="M101" s="86">
        <v>0</v>
      </c>
      <c r="N101" s="87">
        <f t="shared" si="14"/>
        <v>0</v>
      </c>
    </row>
    <row r="102" spans="2:14" ht="20.100000000000001" customHeight="1">
      <c r="B102" s="85" t="s">
        <v>449</v>
      </c>
      <c r="C102" s="85" t="s">
        <v>450</v>
      </c>
      <c r="D102" s="86"/>
      <c r="E102" s="86"/>
      <c r="F102" s="86"/>
      <c r="G102" s="86"/>
      <c r="H102" s="87"/>
      <c r="I102" s="86"/>
      <c r="J102" s="86">
        <v>0</v>
      </c>
      <c r="K102" s="86">
        <v>0</v>
      </c>
      <c r="L102" s="86">
        <v>0</v>
      </c>
      <c r="M102" s="86">
        <v>0</v>
      </c>
      <c r="N102" s="87">
        <f t="shared" si="14"/>
        <v>0</v>
      </c>
    </row>
    <row r="103" spans="2:14" ht="20.100000000000001" customHeight="1">
      <c r="B103" s="85" t="s">
        <v>451</v>
      </c>
      <c r="C103" s="85" t="s">
        <v>452</v>
      </c>
      <c r="D103" s="86"/>
      <c r="E103" s="86"/>
      <c r="F103" s="86"/>
      <c r="G103" s="86"/>
      <c r="H103" s="87"/>
      <c r="I103" s="86"/>
      <c r="J103" s="86">
        <v>0</v>
      </c>
      <c r="K103" s="86">
        <v>0</v>
      </c>
      <c r="L103" s="86">
        <v>0</v>
      </c>
      <c r="M103" s="86">
        <v>0</v>
      </c>
      <c r="N103" s="87">
        <f t="shared" si="14"/>
        <v>0</v>
      </c>
    </row>
    <row r="104" spans="2:14" ht="20.100000000000001" customHeight="1">
      <c r="B104" s="85" t="s">
        <v>655</v>
      </c>
      <c r="C104" s="85" t="s">
        <v>656</v>
      </c>
      <c r="D104" s="86"/>
      <c r="E104" s="86"/>
      <c r="F104" s="86"/>
      <c r="G104" s="86"/>
      <c r="H104" s="87"/>
      <c r="I104" s="86"/>
      <c r="J104" s="86">
        <v>0</v>
      </c>
      <c r="K104" s="86">
        <v>0</v>
      </c>
      <c r="L104" s="86">
        <v>0</v>
      </c>
      <c r="M104" s="86">
        <v>0</v>
      </c>
      <c r="N104" s="87">
        <f t="shared" si="14"/>
        <v>0</v>
      </c>
    </row>
    <row r="105" spans="2:14" ht="20.100000000000001" customHeight="1">
      <c r="B105" s="85" t="s">
        <v>453</v>
      </c>
      <c r="C105" s="85" t="s">
        <v>454</v>
      </c>
      <c r="D105" s="86"/>
      <c r="E105" s="86"/>
      <c r="F105" s="86"/>
      <c r="G105" s="86"/>
      <c r="H105" s="87"/>
      <c r="I105" s="86"/>
      <c r="J105" s="86">
        <v>0</v>
      </c>
      <c r="K105" s="86">
        <v>0</v>
      </c>
      <c r="L105" s="86">
        <v>0</v>
      </c>
      <c r="M105" s="86">
        <v>0</v>
      </c>
      <c r="N105" s="87">
        <f t="shared" si="14"/>
        <v>0</v>
      </c>
    </row>
    <row r="106" spans="2:14" ht="20.100000000000001" customHeight="1">
      <c r="B106" s="85" t="s">
        <v>455</v>
      </c>
      <c r="C106" s="85" t="s">
        <v>456</v>
      </c>
      <c r="D106" s="86"/>
      <c r="E106" s="86"/>
      <c r="F106" s="86"/>
      <c r="G106" s="86"/>
      <c r="H106" s="87"/>
      <c r="I106" s="86"/>
      <c r="J106" s="86">
        <v>0</v>
      </c>
      <c r="K106" s="86">
        <v>0</v>
      </c>
      <c r="L106" s="86">
        <v>0</v>
      </c>
      <c r="M106" s="86">
        <v>0</v>
      </c>
      <c r="N106" s="87">
        <f t="shared" si="14"/>
        <v>0</v>
      </c>
    </row>
    <row r="107" spans="2:14" ht="20.100000000000001" customHeight="1">
      <c r="B107" s="85" t="s">
        <v>457</v>
      </c>
      <c r="C107" s="85" t="s">
        <v>458</v>
      </c>
      <c r="D107" s="86"/>
      <c r="E107" s="86"/>
      <c r="F107" s="86"/>
      <c r="G107" s="86"/>
      <c r="H107" s="87"/>
      <c r="I107" s="86"/>
      <c r="J107" s="86">
        <v>0</v>
      </c>
      <c r="K107" s="86">
        <v>0</v>
      </c>
      <c r="L107" s="86">
        <v>0</v>
      </c>
      <c r="M107" s="86">
        <v>0</v>
      </c>
      <c r="N107" s="87">
        <f t="shared" si="14"/>
        <v>0</v>
      </c>
    </row>
    <row r="108" spans="2:14" ht="20.100000000000001" customHeight="1">
      <c r="B108" s="85" t="s">
        <v>457</v>
      </c>
      <c r="C108" s="85" t="s">
        <v>1080</v>
      </c>
      <c r="D108" s="86"/>
      <c r="E108" s="86"/>
      <c r="F108" s="86"/>
      <c r="G108" s="86"/>
      <c r="H108" s="87"/>
      <c r="I108" s="86"/>
      <c r="J108" s="86">
        <v>0</v>
      </c>
      <c r="K108" s="86">
        <v>0</v>
      </c>
      <c r="L108" s="86">
        <v>0</v>
      </c>
      <c r="M108" s="86">
        <v>0</v>
      </c>
      <c r="N108" s="87">
        <f t="shared" si="14"/>
        <v>0</v>
      </c>
    </row>
    <row r="109" spans="2:14" ht="20.100000000000001" customHeight="1">
      <c r="B109" s="85" t="s">
        <v>459</v>
      </c>
      <c r="C109" s="85" t="s">
        <v>460</v>
      </c>
      <c r="D109" s="86"/>
      <c r="E109" s="86"/>
      <c r="F109" s="86"/>
      <c r="G109" s="86"/>
      <c r="H109" s="87"/>
      <c r="I109" s="86"/>
      <c r="J109" s="86">
        <v>0</v>
      </c>
      <c r="K109" s="86">
        <v>0</v>
      </c>
      <c r="L109" s="86">
        <v>0</v>
      </c>
      <c r="M109" s="86">
        <v>0</v>
      </c>
      <c r="N109" s="87">
        <f t="shared" si="14"/>
        <v>0</v>
      </c>
    </row>
    <row r="110" spans="2:14" ht="20.100000000000001" customHeight="1">
      <c r="B110" s="85" t="s">
        <v>461</v>
      </c>
      <c r="C110" s="85" t="s">
        <v>462</v>
      </c>
      <c r="D110" s="86"/>
      <c r="E110" s="86"/>
      <c r="F110" s="86"/>
      <c r="G110" s="86"/>
      <c r="H110" s="87"/>
      <c r="I110" s="86"/>
      <c r="J110" s="86">
        <v>0</v>
      </c>
      <c r="K110" s="86">
        <v>0</v>
      </c>
      <c r="L110" s="86">
        <v>0</v>
      </c>
      <c r="M110" s="86">
        <v>0</v>
      </c>
      <c r="N110" s="87">
        <f t="shared" si="14"/>
        <v>0</v>
      </c>
    </row>
    <row r="111" spans="2:14" ht="20.100000000000001" customHeight="1">
      <c r="B111" s="85" t="s">
        <v>463</v>
      </c>
      <c r="C111" s="85" t="s">
        <v>464</v>
      </c>
      <c r="D111" s="86"/>
      <c r="E111" s="86"/>
      <c r="F111" s="86"/>
      <c r="G111" s="86"/>
      <c r="H111" s="87"/>
      <c r="I111" s="86"/>
      <c r="J111" s="86">
        <v>0</v>
      </c>
      <c r="K111" s="86">
        <v>0</v>
      </c>
      <c r="L111" s="86">
        <v>0</v>
      </c>
      <c r="M111" s="86">
        <v>0</v>
      </c>
      <c r="N111" s="87">
        <f t="shared" si="14"/>
        <v>0</v>
      </c>
    </row>
    <row r="112" spans="2:14" ht="20.100000000000001" customHeight="1">
      <c r="B112" s="85" t="s">
        <v>907</v>
      </c>
      <c r="C112" s="85" t="s">
        <v>908</v>
      </c>
      <c r="D112" s="86"/>
      <c r="E112" s="86"/>
      <c r="F112" s="86"/>
      <c r="G112" s="86"/>
      <c r="H112" s="87"/>
      <c r="I112" s="86"/>
      <c r="J112" s="86">
        <v>0</v>
      </c>
      <c r="K112" s="86">
        <v>0</v>
      </c>
      <c r="L112" s="86">
        <v>0</v>
      </c>
      <c r="M112" s="86">
        <v>0</v>
      </c>
      <c r="N112" s="87">
        <f t="shared" si="14"/>
        <v>0</v>
      </c>
    </row>
    <row r="113" spans="2:14" ht="20.100000000000001" customHeight="1">
      <c r="B113" s="85" t="s">
        <v>465</v>
      </c>
      <c r="C113" s="85" t="s">
        <v>466</v>
      </c>
      <c r="D113" s="86"/>
      <c r="E113" s="86"/>
      <c r="F113" s="86"/>
      <c r="G113" s="86"/>
      <c r="H113" s="87"/>
      <c r="I113" s="86"/>
      <c r="J113" s="86">
        <v>0</v>
      </c>
      <c r="K113" s="86">
        <v>0</v>
      </c>
      <c r="L113" s="86">
        <v>0</v>
      </c>
      <c r="M113" s="86">
        <v>0</v>
      </c>
      <c r="N113" s="87">
        <f t="shared" si="14"/>
        <v>0</v>
      </c>
    </row>
    <row r="114" spans="2:14" ht="20.100000000000001" customHeight="1">
      <c r="B114" s="85" t="s">
        <v>465</v>
      </c>
      <c r="C114" s="85" t="s">
        <v>1122</v>
      </c>
      <c r="D114" s="86"/>
      <c r="E114" s="86"/>
      <c r="F114" s="86"/>
      <c r="G114" s="86"/>
      <c r="H114" s="87"/>
      <c r="I114" s="86"/>
      <c r="J114" s="86">
        <v>0</v>
      </c>
      <c r="K114" s="86">
        <v>0</v>
      </c>
      <c r="L114" s="86">
        <v>0</v>
      </c>
      <c r="M114" s="86">
        <v>0</v>
      </c>
      <c r="N114" s="87">
        <f t="shared" si="14"/>
        <v>0</v>
      </c>
    </row>
    <row r="115" spans="2:14" ht="20.100000000000001" customHeight="1">
      <c r="B115" s="85" t="s">
        <v>467</v>
      </c>
      <c r="C115" s="85" t="s">
        <v>468</v>
      </c>
      <c r="D115" s="86"/>
      <c r="E115" s="86"/>
      <c r="F115" s="86"/>
      <c r="G115" s="86"/>
      <c r="H115" s="87"/>
      <c r="I115" s="86"/>
      <c r="J115" s="86">
        <v>0</v>
      </c>
      <c r="K115" s="86">
        <v>0</v>
      </c>
      <c r="L115" s="86">
        <v>0</v>
      </c>
      <c r="M115" s="86">
        <v>0</v>
      </c>
      <c r="N115" s="87">
        <f t="shared" si="14"/>
        <v>0</v>
      </c>
    </row>
    <row r="116" spans="2:14" ht="20.100000000000001" customHeight="1">
      <c r="B116" s="85" t="s">
        <v>467</v>
      </c>
      <c r="C116" s="85" t="s">
        <v>1259</v>
      </c>
      <c r="D116" s="86"/>
      <c r="E116" s="86"/>
      <c r="F116" s="86"/>
      <c r="G116" s="86"/>
      <c r="H116" s="87"/>
      <c r="I116" s="86"/>
      <c r="J116" s="86">
        <v>0</v>
      </c>
      <c r="K116" s="86">
        <v>0</v>
      </c>
      <c r="L116" s="86">
        <v>0</v>
      </c>
      <c r="M116" s="86">
        <v>0</v>
      </c>
      <c r="N116" s="87">
        <f t="shared" ref="N116" si="15">M116+L116+K116+J116</f>
        <v>0</v>
      </c>
    </row>
    <row r="117" spans="2:14" ht="20.100000000000001" customHeight="1">
      <c r="B117" s="85" t="s">
        <v>469</v>
      </c>
      <c r="C117" s="85" t="s">
        <v>470</v>
      </c>
      <c r="D117" s="86"/>
      <c r="E117" s="86"/>
      <c r="F117" s="86"/>
      <c r="G117" s="86"/>
      <c r="H117" s="87"/>
      <c r="I117" s="86"/>
      <c r="J117" s="86">
        <v>0</v>
      </c>
      <c r="K117" s="86">
        <v>0</v>
      </c>
      <c r="L117" s="86">
        <v>0</v>
      </c>
      <c r="M117" s="86">
        <v>0</v>
      </c>
      <c r="N117" s="87">
        <f t="shared" si="14"/>
        <v>0</v>
      </c>
    </row>
    <row r="118" spans="2:14" ht="20.100000000000001" customHeight="1">
      <c r="B118" s="85" t="s">
        <v>469</v>
      </c>
      <c r="C118" s="85" t="s">
        <v>1190</v>
      </c>
      <c r="D118" s="86"/>
      <c r="E118" s="86"/>
      <c r="F118" s="86"/>
      <c r="G118" s="86"/>
      <c r="H118" s="87"/>
      <c r="I118" s="86"/>
      <c r="J118" s="86">
        <v>0</v>
      </c>
      <c r="K118" s="86">
        <v>0</v>
      </c>
      <c r="L118" s="86">
        <v>0</v>
      </c>
      <c r="M118" s="86">
        <v>0</v>
      </c>
      <c r="N118" s="87">
        <f t="shared" ref="N118" si="16">M118+L118+K118+J118</f>
        <v>0</v>
      </c>
    </row>
    <row r="119" spans="2:14" ht="20.100000000000001" customHeight="1">
      <c r="B119" s="85" t="s">
        <v>753</v>
      </c>
      <c r="C119" s="85" t="s">
        <v>754</v>
      </c>
      <c r="D119" s="86"/>
      <c r="E119" s="86"/>
      <c r="F119" s="86"/>
      <c r="G119" s="86"/>
      <c r="H119" s="87"/>
      <c r="I119" s="86"/>
      <c r="J119" s="86">
        <v>0</v>
      </c>
      <c r="K119" s="86">
        <v>0</v>
      </c>
      <c r="L119" s="86">
        <v>0</v>
      </c>
      <c r="M119" s="86">
        <v>0</v>
      </c>
      <c r="N119" s="87">
        <f t="shared" si="14"/>
        <v>0</v>
      </c>
    </row>
    <row r="120" spans="2:14" ht="20.100000000000001" customHeight="1">
      <c r="B120" s="85" t="s">
        <v>1191</v>
      </c>
      <c r="C120" s="85" t="s">
        <v>1192</v>
      </c>
      <c r="D120" s="86"/>
      <c r="E120" s="86"/>
      <c r="F120" s="86"/>
      <c r="G120" s="86"/>
      <c r="H120" s="87"/>
      <c r="I120" s="86"/>
      <c r="J120" s="86">
        <v>0</v>
      </c>
      <c r="K120" s="86">
        <v>0</v>
      </c>
      <c r="L120" s="86">
        <v>0</v>
      </c>
      <c r="M120" s="86">
        <v>0</v>
      </c>
      <c r="N120" s="87">
        <f t="shared" ref="N120" si="17">M120+L120+K120+J120</f>
        <v>0</v>
      </c>
    </row>
    <row r="121" spans="2:14" ht="20.100000000000001" customHeight="1">
      <c r="B121" s="85" t="s">
        <v>1193</v>
      </c>
      <c r="C121" s="85" t="s">
        <v>1194</v>
      </c>
      <c r="D121" s="86"/>
      <c r="E121" s="86"/>
      <c r="F121" s="86"/>
      <c r="G121" s="86"/>
      <c r="H121" s="87"/>
      <c r="I121" s="86"/>
      <c r="J121" s="86">
        <v>0</v>
      </c>
      <c r="K121" s="86">
        <v>0</v>
      </c>
      <c r="L121" s="86">
        <v>0</v>
      </c>
      <c r="M121" s="86">
        <v>0</v>
      </c>
      <c r="N121" s="87">
        <f t="shared" ref="N121" si="18">M121+L121+K121+J121</f>
        <v>0</v>
      </c>
    </row>
    <row r="122" spans="2:14" ht="20.100000000000001" customHeight="1">
      <c r="B122" s="85" t="s">
        <v>657</v>
      </c>
      <c r="C122" s="85" t="s">
        <v>658</v>
      </c>
      <c r="D122" s="86"/>
      <c r="E122" s="86"/>
      <c r="F122" s="86"/>
      <c r="G122" s="86"/>
      <c r="H122" s="87"/>
      <c r="I122" s="86"/>
      <c r="J122" s="86">
        <v>0</v>
      </c>
      <c r="K122" s="86">
        <v>0</v>
      </c>
      <c r="L122" s="86">
        <v>0</v>
      </c>
      <c r="M122" s="86">
        <v>0</v>
      </c>
      <c r="N122" s="87">
        <f t="shared" si="14"/>
        <v>0</v>
      </c>
    </row>
    <row r="123" spans="2:14" ht="20.100000000000001" customHeight="1">
      <c r="B123" s="85" t="s">
        <v>1252</v>
      </c>
      <c r="C123" s="85" t="s">
        <v>1253</v>
      </c>
      <c r="D123" s="86"/>
      <c r="E123" s="86"/>
      <c r="F123" s="86"/>
      <c r="G123" s="86"/>
      <c r="H123" s="87"/>
      <c r="I123" s="86"/>
      <c r="J123" s="86"/>
      <c r="K123" s="86"/>
      <c r="L123" s="86"/>
      <c r="M123" s="86"/>
      <c r="N123" s="87"/>
    </row>
    <row r="124" spans="2:14" ht="20.100000000000001" customHeight="1">
      <c r="B124" s="96" t="s">
        <v>423</v>
      </c>
      <c r="C124" s="96" t="s">
        <v>425</v>
      </c>
      <c r="D124" s="98"/>
      <c r="E124" s="98"/>
      <c r="F124" s="98"/>
      <c r="G124" s="98"/>
      <c r="H124" s="99"/>
      <c r="I124" s="98"/>
      <c r="J124" s="98">
        <v>0</v>
      </c>
      <c r="K124" s="98">
        <v>0</v>
      </c>
      <c r="L124" s="98">
        <v>0</v>
      </c>
      <c r="M124" s="98">
        <v>0</v>
      </c>
      <c r="N124" s="99">
        <f t="shared" si="14"/>
        <v>0</v>
      </c>
    </row>
    <row r="125" spans="2:14" ht="20.100000000000001" customHeight="1">
      <c r="B125" s="85" t="s">
        <v>423</v>
      </c>
      <c r="C125" s="85" t="s">
        <v>1119</v>
      </c>
      <c r="D125" s="86"/>
      <c r="E125" s="86"/>
      <c r="F125" s="86"/>
      <c r="G125" s="86"/>
      <c r="H125" s="87"/>
      <c r="I125" s="86"/>
      <c r="J125" s="86"/>
      <c r="K125" s="86"/>
      <c r="L125" s="86"/>
      <c r="M125" s="86"/>
      <c r="N125" s="87"/>
    </row>
    <row r="126" spans="2:14" ht="20.100000000000001" customHeight="1">
      <c r="B126" s="85" t="s">
        <v>638</v>
      </c>
      <c r="C126" s="85" t="s">
        <v>639</v>
      </c>
      <c r="D126" s="86"/>
      <c r="E126" s="86"/>
      <c r="F126" s="86"/>
      <c r="G126" s="86"/>
      <c r="H126" s="87"/>
      <c r="I126" s="86"/>
      <c r="J126" s="86">
        <v>0</v>
      </c>
      <c r="K126" s="86">
        <v>0</v>
      </c>
      <c r="L126" s="86">
        <v>0</v>
      </c>
      <c r="M126" s="86">
        <v>0</v>
      </c>
      <c r="N126" s="87">
        <f t="shared" ref="N126:N145" si="19">M126+L126+K126+J126</f>
        <v>0</v>
      </c>
    </row>
    <row r="127" spans="2:14" ht="20.100000000000001" customHeight="1">
      <c r="B127" s="85" t="s">
        <v>962</v>
      </c>
      <c r="C127" s="85" t="s">
        <v>963</v>
      </c>
      <c r="D127" s="86"/>
      <c r="E127" s="86"/>
      <c r="F127" s="86"/>
      <c r="G127" s="86"/>
      <c r="H127" s="87"/>
      <c r="I127" s="86"/>
      <c r="J127" s="86">
        <v>0</v>
      </c>
      <c r="K127" s="86">
        <v>0</v>
      </c>
      <c r="L127" s="86">
        <v>0</v>
      </c>
      <c r="M127" s="86">
        <v>0</v>
      </c>
      <c r="N127" s="87">
        <f t="shared" si="19"/>
        <v>0</v>
      </c>
    </row>
    <row r="128" spans="2:14" ht="20.100000000000001" customHeight="1">
      <c r="B128" s="85" t="s">
        <v>1254</v>
      </c>
      <c r="C128" s="85" t="s">
        <v>1255</v>
      </c>
      <c r="D128" s="86"/>
      <c r="E128" s="86"/>
      <c r="F128" s="86"/>
      <c r="G128" s="86"/>
      <c r="H128" s="87"/>
      <c r="I128" s="86"/>
      <c r="J128" s="86">
        <v>0</v>
      </c>
      <c r="K128" s="86">
        <v>0</v>
      </c>
      <c r="L128" s="86">
        <v>0</v>
      </c>
      <c r="M128" s="86">
        <v>0</v>
      </c>
      <c r="N128" s="87">
        <f t="shared" ref="N128" si="20">M128+L128+K128+J128</f>
        <v>0</v>
      </c>
    </row>
    <row r="129" spans="2:14" ht="20.100000000000001" customHeight="1">
      <c r="B129" s="85" t="s">
        <v>1176</v>
      </c>
      <c r="C129" s="85" t="s">
        <v>1177</v>
      </c>
      <c r="D129" s="86"/>
      <c r="E129" s="86"/>
      <c r="F129" s="86"/>
      <c r="G129" s="86"/>
      <c r="H129" s="87"/>
      <c r="I129" s="86"/>
      <c r="J129" s="86">
        <v>0</v>
      </c>
      <c r="K129" s="86">
        <v>0</v>
      </c>
      <c r="L129" s="86">
        <v>0</v>
      </c>
      <c r="M129" s="86">
        <v>0</v>
      </c>
      <c r="N129" s="87">
        <f t="shared" ref="N129" si="21">M129+L129+K129+J129</f>
        <v>0</v>
      </c>
    </row>
    <row r="130" spans="2:14" ht="20.100000000000001" customHeight="1">
      <c r="B130" s="85" t="s">
        <v>644</v>
      </c>
      <c r="C130" s="85" t="s">
        <v>645</v>
      </c>
      <c r="D130" s="86"/>
      <c r="E130" s="86"/>
      <c r="F130" s="86"/>
      <c r="G130" s="86"/>
      <c r="H130" s="87"/>
      <c r="I130" s="86"/>
      <c r="J130" s="86">
        <v>0</v>
      </c>
      <c r="K130" s="86">
        <v>0</v>
      </c>
      <c r="L130" s="86">
        <v>0</v>
      </c>
      <c r="M130" s="86">
        <v>0</v>
      </c>
      <c r="N130" s="87">
        <f t="shared" si="19"/>
        <v>0</v>
      </c>
    </row>
    <row r="131" spans="2:14" ht="20.100000000000001" customHeight="1">
      <c r="B131" s="85" t="s">
        <v>1178</v>
      </c>
      <c r="C131" s="85" t="s">
        <v>1179</v>
      </c>
      <c r="D131" s="86"/>
      <c r="E131" s="86"/>
      <c r="F131" s="86"/>
      <c r="G131" s="86"/>
      <c r="H131" s="87"/>
      <c r="I131" s="86"/>
      <c r="J131" s="86">
        <v>0</v>
      </c>
      <c r="K131" s="86">
        <v>0</v>
      </c>
      <c r="L131" s="86">
        <v>0</v>
      </c>
      <c r="M131" s="86">
        <v>0</v>
      </c>
      <c r="N131" s="87">
        <f t="shared" ref="N131" si="22">M131+L131+K131+J131</f>
        <v>0</v>
      </c>
    </row>
    <row r="132" spans="2:14" ht="20.100000000000001" customHeight="1">
      <c r="B132" s="85" t="s">
        <v>445</v>
      </c>
      <c r="C132" s="85" t="s">
        <v>446</v>
      </c>
      <c r="D132" s="86"/>
      <c r="E132" s="86"/>
      <c r="F132" s="86"/>
      <c r="G132" s="86"/>
      <c r="H132" s="87"/>
      <c r="I132" s="86"/>
      <c r="J132" s="86">
        <v>0</v>
      </c>
      <c r="K132" s="86">
        <v>0</v>
      </c>
      <c r="L132" s="86">
        <v>0</v>
      </c>
      <c r="M132" s="86">
        <v>0</v>
      </c>
      <c r="N132" s="87">
        <f t="shared" ref="N132" si="23">M132+L132+K132+J132</f>
        <v>0</v>
      </c>
    </row>
    <row r="133" spans="2:14" ht="20.100000000000001" customHeight="1">
      <c r="B133" s="85" t="s">
        <v>1161</v>
      </c>
      <c r="C133" s="85" t="s">
        <v>1162</v>
      </c>
      <c r="D133" s="86"/>
      <c r="E133" s="86"/>
      <c r="F133" s="86"/>
      <c r="G133" s="86"/>
      <c r="H133" s="87"/>
      <c r="I133" s="86"/>
      <c r="J133" s="86">
        <v>0</v>
      </c>
      <c r="K133" s="86">
        <v>0</v>
      </c>
      <c r="L133" s="86">
        <v>0</v>
      </c>
      <c r="M133" s="86">
        <v>0</v>
      </c>
      <c r="N133" s="87">
        <f t="shared" ref="N133" si="24">M133+L133+K133+J133</f>
        <v>0</v>
      </c>
    </row>
    <row r="134" spans="2:14" ht="20.100000000000001" customHeight="1">
      <c r="B134" s="85" t="s">
        <v>640</v>
      </c>
      <c r="C134" s="85" t="s">
        <v>641</v>
      </c>
      <c r="D134" s="86"/>
      <c r="E134" s="86"/>
      <c r="F134" s="86"/>
      <c r="G134" s="86"/>
      <c r="H134" s="87"/>
      <c r="I134" s="86"/>
      <c r="J134" s="86">
        <v>0</v>
      </c>
      <c r="K134" s="86">
        <v>0</v>
      </c>
      <c r="L134" s="86">
        <v>0</v>
      </c>
      <c r="M134" s="86">
        <v>0</v>
      </c>
      <c r="N134" s="87">
        <f t="shared" si="19"/>
        <v>0</v>
      </c>
    </row>
    <row r="135" spans="2:14" ht="20.100000000000001" customHeight="1">
      <c r="B135" s="85" t="s">
        <v>642</v>
      </c>
      <c r="C135" s="85" t="s">
        <v>643</v>
      </c>
      <c r="D135" s="86"/>
      <c r="E135" s="86"/>
      <c r="F135" s="86"/>
      <c r="G135" s="86"/>
      <c r="H135" s="87"/>
      <c r="I135" s="86"/>
      <c r="J135" s="86">
        <v>0</v>
      </c>
      <c r="K135" s="86">
        <v>0</v>
      </c>
      <c r="L135" s="86">
        <v>0</v>
      </c>
      <c r="M135" s="86">
        <v>0</v>
      </c>
      <c r="N135" s="87">
        <f t="shared" si="19"/>
        <v>0</v>
      </c>
    </row>
    <row r="136" spans="2:14" ht="20.100000000000001" customHeight="1">
      <c r="B136" s="85" t="s">
        <v>424</v>
      </c>
      <c r="C136" s="85" t="s">
        <v>426</v>
      </c>
      <c r="D136" s="86"/>
      <c r="E136" s="86"/>
      <c r="F136" s="86"/>
      <c r="G136" s="86"/>
      <c r="H136" s="87"/>
      <c r="I136" s="86"/>
      <c r="J136" s="86">
        <v>0</v>
      </c>
      <c r="K136" s="86">
        <v>0</v>
      </c>
      <c r="L136" s="86">
        <v>0</v>
      </c>
      <c r="M136" s="86">
        <v>0</v>
      </c>
      <c r="N136" s="87">
        <f t="shared" si="19"/>
        <v>0</v>
      </c>
    </row>
    <row r="137" spans="2:14" ht="20.100000000000001" customHeight="1">
      <c r="B137" s="85" t="s">
        <v>430</v>
      </c>
      <c r="C137" s="85" t="s">
        <v>431</v>
      </c>
      <c r="D137" s="86"/>
      <c r="E137" s="86"/>
      <c r="F137" s="86"/>
      <c r="G137" s="86"/>
      <c r="H137" s="87"/>
      <c r="I137" s="86"/>
      <c r="J137" s="86">
        <v>0</v>
      </c>
      <c r="K137" s="86">
        <v>0</v>
      </c>
      <c r="L137" s="86">
        <v>0</v>
      </c>
      <c r="M137" s="86">
        <v>0</v>
      </c>
      <c r="N137" s="87">
        <f t="shared" si="19"/>
        <v>0</v>
      </c>
    </row>
    <row r="138" spans="2:14" ht="20.100000000000001" customHeight="1">
      <c r="B138" s="85" t="s">
        <v>266</v>
      </c>
      <c r="C138" s="85" t="s">
        <v>869</v>
      </c>
      <c r="D138" s="86"/>
      <c r="E138" s="86"/>
      <c r="F138" s="86"/>
      <c r="G138" s="86"/>
      <c r="H138" s="87"/>
      <c r="I138" s="86"/>
      <c r="J138" s="86">
        <v>0</v>
      </c>
      <c r="K138" s="86">
        <v>0</v>
      </c>
      <c r="L138" s="86">
        <v>0</v>
      </c>
      <c r="M138" s="86">
        <v>0</v>
      </c>
      <c r="N138" s="87">
        <f t="shared" si="19"/>
        <v>0</v>
      </c>
    </row>
    <row r="139" spans="2:14" ht="20.100000000000001" customHeight="1">
      <c r="B139" s="85" t="s">
        <v>266</v>
      </c>
      <c r="C139" s="85" t="s">
        <v>267</v>
      </c>
      <c r="D139" s="86"/>
      <c r="E139" s="86"/>
      <c r="F139" s="86"/>
      <c r="G139" s="86"/>
      <c r="H139" s="87"/>
      <c r="I139" s="86"/>
      <c r="J139" s="86">
        <v>0</v>
      </c>
      <c r="K139" s="86">
        <v>0</v>
      </c>
      <c r="L139" s="86">
        <v>0</v>
      </c>
      <c r="M139" s="86">
        <v>0</v>
      </c>
      <c r="N139" s="87">
        <f t="shared" si="19"/>
        <v>0</v>
      </c>
    </row>
    <row r="140" spans="2:14" ht="20.100000000000001" customHeight="1">
      <c r="B140" s="85" t="s">
        <v>266</v>
      </c>
      <c r="C140" s="85" t="s">
        <v>431</v>
      </c>
      <c r="D140" s="86"/>
      <c r="E140" s="86"/>
      <c r="F140" s="86"/>
      <c r="G140" s="86"/>
      <c r="H140" s="87"/>
      <c r="I140" s="86"/>
      <c r="J140" s="86">
        <v>0</v>
      </c>
      <c r="K140" s="86">
        <v>0</v>
      </c>
      <c r="L140" s="86">
        <v>0</v>
      </c>
      <c r="M140" s="86">
        <v>0</v>
      </c>
      <c r="N140" s="87">
        <f t="shared" ref="N140" si="25">M140+L140+K140+J140</f>
        <v>0</v>
      </c>
    </row>
    <row r="141" spans="2:14" ht="20.100000000000001" customHeight="1">
      <c r="B141" s="85" t="s">
        <v>1256</v>
      </c>
      <c r="C141" s="85" t="s">
        <v>1257</v>
      </c>
      <c r="D141" s="86"/>
      <c r="E141" s="86"/>
      <c r="F141" s="86"/>
      <c r="G141" s="86"/>
      <c r="H141" s="87"/>
      <c r="I141" s="86"/>
      <c r="J141" s="86">
        <v>0</v>
      </c>
      <c r="K141" s="86">
        <v>0</v>
      </c>
      <c r="L141" s="86">
        <v>0</v>
      </c>
      <c r="M141" s="86">
        <v>0</v>
      </c>
      <c r="N141" s="87">
        <f t="shared" ref="N141" si="26">M141+L141+K141+J141</f>
        <v>0</v>
      </c>
    </row>
    <row r="142" spans="2:14" ht="20.100000000000001" customHeight="1">
      <c r="B142" s="85" t="s">
        <v>1174</v>
      </c>
      <c r="C142" s="85" t="s">
        <v>1175</v>
      </c>
      <c r="D142" s="86"/>
      <c r="E142" s="86"/>
      <c r="F142" s="86"/>
      <c r="G142" s="86"/>
      <c r="H142" s="87"/>
      <c r="I142" s="86"/>
      <c r="J142" s="86">
        <v>0</v>
      </c>
      <c r="K142" s="86">
        <v>0</v>
      </c>
      <c r="L142" s="86">
        <v>0</v>
      </c>
      <c r="M142" s="86">
        <v>0</v>
      </c>
      <c r="N142" s="87">
        <f t="shared" ref="N142" si="27">M142+L142+K142+J142</f>
        <v>0</v>
      </c>
    </row>
    <row r="143" spans="2:14" ht="20.100000000000001" customHeight="1">
      <c r="B143" s="85" t="s">
        <v>1075</v>
      </c>
      <c r="C143" s="85" t="s">
        <v>1076</v>
      </c>
      <c r="D143" s="86"/>
      <c r="E143" s="86"/>
      <c r="F143" s="86"/>
      <c r="G143" s="86"/>
      <c r="H143" s="87"/>
      <c r="I143" s="86"/>
      <c r="J143" s="86">
        <v>0</v>
      </c>
      <c r="K143" s="86">
        <v>0</v>
      </c>
      <c r="L143" s="86">
        <v>0</v>
      </c>
      <c r="M143" s="86">
        <v>0</v>
      </c>
      <c r="N143" s="87">
        <f t="shared" si="19"/>
        <v>0</v>
      </c>
    </row>
    <row r="144" spans="2:14" ht="20.100000000000001" customHeight="1">
      <c r="B144" s="85" t="s">
        <v>1077</v>
      </c>
      <c r="C144" s="85" t="s">
        <v>1078</v>
      </c>
      <c r="D144" s="86"/>
      <c r="E144" s="86"/>
      <c r="F144" s="86"/>
      <c r="G144" s="86"/>
      <c r="H144" s="87"/>
      <c r="I144" s="86"/>
      <c r="J144" s="86">
        <v>0</v>
      </c>
      <c r="K144" s="86">
        <v>0</v>
      </c>
      <c r="L144" s="86">
        <v>0</v>
      </c>
      <c r="M144" s="86">
        <v>0</v>
      </c>
      <c r="N144" s="87">
        <f t="shared" si="19"/>
        <v>0</v>
      </c>
    </row>
    <row r="145" spans="2:14" ht="20.100000000000001" customHeight="1">
      <c r="B145" s="88" t="s">
        <v>445</v>
      </c>
      <c r="C145" s="88" t="s">
        <v>446</v>
      </c>
      <c r="D145" s="89"/>
      <c r="E145" s="89"/>
      <c r="F145" s="89"/>
      <c r="G145" s="89"/>
      <c r="H145" s="90"/>
      <c r="I145" s="89"/>
      <c r="J145" s="89">
        <v>0</v>
      </c>
      <c r="K145" s="89">
        <v>0</v>
      </c>
      <c r="L145" s="89">
        <v>0</v>
      </c>
      <c r="M145" s="89">
        <v>0</v>
      </c>
      <c r="N145" s="90">
        <f t="shared" si="19"/>
        <v>0</v>
      </c>
    </row>
    <row r="146" spans="2:14" ht="20.100000000000001" customHeight="1">
      <c r="B146" s="292" t="s">
        <v>15</v>
      </c>
      <c r="C146" s="293"/>
      <c r="D146" s="75">
        <f>SUM(D8:D145)</f>
        <v>0</v>
      </c>
      <c r="E146" s="75">
        <f>SUM(E8:E145)</f>
        <v>0</v>
      </c>
      <c r="F146" s="75">
        <f>SUM(F8:F145)</f>
        <v>0</v>
      </c>
      <c r="G146" s="75"/>
      <c r="H146" s="75">
        <f t="shared" ref="H146:N146" si="28">SUM(H8:H145)</f>
        <v>0</v>
      </c>
      <c r="I146" s="75">
        <f t="shared" si="28"/>
        <v>0</v>
      </c>
      <c r="J146" s="75">
        <f t="shared" si="28"/>
        <v>0</v>
      </c>
      <c r="K146" s="75">
        <f t="shared" si="28"/>
        <v>0</v>
      </c>
      <c r="L146" s="75">
        <f t="shared" si="28"/>
        <v>0</v>
      </c>
      <c r="M146" s="75">
        <f t="shared" si="28"/>
        <v>0</v>
      </c>
      <c r="N146" s="75">
        <f t="shared" si="28"/>
        <v>0</v>
      </c>
    </row>
    <row r="147" spans="2:14" ht="20.100000000000001" customHeight="1">
      <c r="B147" s="100" t="s">
        <v>16</v>
      </c>
      <c r="C147" s="165"/>
      <c r="D147" s="166"/>
      <c r="E147" s="165"/>
      <c r="F147" s="165"/>
      <c r="G147" s="165"/>
      <c r="H147" s="165"/>
      <c r="I147" s="166"/>
      <c r="J147" s="165"/>
      <c r="K147" s="165"/>
      <c r="L147" s="165"/>
      <c r="M147" s="165"/>
      <c r="N147" s="167"/>
    </row>
    <row r="148" spans="2:14" ht="20.100000000000001" customHeight="1">
      <c r="B148" s="85" t="s">
        <v>834</v>
      </c>
      <c r="C148" s="85" t="s">
        <v>1145</v>
      </c>
      <c r="D148" s="86"/>
      <c r="E148" s="86"/>
      <c r="F148" s="86"/>
      <c r="G148" s="86"/>
      <c r="H148" s="87"/>
      <c r="I148" s="86"/>
      <c r="J148" s="86">
        <v>0</v>
      </c>
      <c r="K148" s="86">
        <v>0</v>
      </c>
      <c r="L148" s="86">
        <v>0</v>
      </c>
      <c r="M148" s="86">
        <v>0</v>
      </c>
      <c r="N148" s="87">
        <f t="shared" ref="N148" si="29">M148+L148+K148+J148</f>
        <v>0</v>
      </c>
    </row>
    <row r="149" spans="2:14" ht="20.100000000000001" customHeight="1">
      <c r="B149" s="85" t="s">
        <v>834</v>
      </c>
      <c r="C149" s="85" t="s">
        <v>852</v>
      </c>
      <c r="D149" s="86"/>
      <c r="E149" s="86"/>
      <c r="F149" s="86"/>
      <c r="G149" s="86"/>
      <c r="H149" s="87"/>
      <c r="I149" s="86"/>
      <c r="J149" s="86">
        <v>0</v>
      </c>
      <c r="K149" s="86">
        <v>0</v>
      </c>
      <c r="L149" s="86">
        <v>0</v>
      </c>
      <c r="M149" s="86">
        <v>0</v>
      </c>
      <c r="N149" s="87">
        <f t="shared" ref="N149:N178" si="30">M149+L149+K149+J149</f>
        <v>0</v>
      </c>
    </row>
    <row r="150" spans="2:14" ht="20.100000000000001" customHeight="1">
      <c r="B150" s="85" t="s">
        <v>834</v>
      </c>
      <c r="C150" s="85" t="s">
        <v>835</v>
      </c>
      <c r="D150" s="86"/>
      <c r="E150" s="86"/>
      <c r="F150" s="86"/>
      <c r="G150" s="86"/>
      <c r="H150" s="87"/>
      <c r="I150" s="86"/>
      <c r="J150" s="86">
        <v>0</v>
      </c>
      <c r="K150" s="86">
        <v>0</v>
      </c>
      <c r="L150" s="86">
        <v>0</v>
      </c>
      <c r="M150" s="86">
        <v>0</v>
      </c>
      <c r="N150" s="87">
        <f t="shared" si="30"/>
        <v>0</v>
      </c>
    </row>
    <row r="151" spans="2:14" ht="20.100000000000001" customHeight="1">
      <c r="B151" s="85" t="s">
        <v>834</v>
      </c>
      <c r="C151" s="85" t="s">
        <v>853</v>
      </c>
      <c r="D151" s="86"/>
      <c r="E151" s="86"/>
      <c r="F151" s="86"/>
      <c r="G151" s="86"/>
      <c r="H151" s="87"/>
      <c r="I151" s="86"/>
      <c r="J151" s="86">
        <v>0</v>
      </c>
      <c r="K151" s="86">
        <v>0</v>
      </c>
      <c r="L151" s="86">
        <v>0</v>
      </c>
      <c r="M151" s="86">
        <v>0</v>
      </c>
      <c r="N151" s="87">
        <f t="shared" si="30"/>
        <v>0</v>
      </c>
    </row>
    <row r="152" spans="2:14" ht="20.100000000000001" customHeight="1">
      <c r="B152" s="85" t="s">
        <v>834</v>
      </c>
      <c r="C152" s="85" t="s">
        <v>854</v>
      </c>
      <c r="D152" s="86"/>
      <c r="E152" s="86"/>
      <c r="F152" s="86"/>
      <c r="G152" s="86"/>
      <c r="H152" s="87"/>
      <c r="I152" s="86"/>
      <c r="J152" s="86">
        <v>0</v>
      </c>
      <c r="K152" s="86">
        <v>0</v>
      </c>
      <c r="L152" s="86">
        <v>0</v>
      </c>
      <c r="M152" s="86">
        <v>0</v>
      </c>
      <c r="N152" s="87">
        <f t="shared" si="30"/>
        <v>0</v>
      </c>
    </row>
    <row r="153" spans="2:14" ht="20.100000000000001" customHeight="1">
      <c r="B153" s="85" t="s">
        <v>344</v>
      </c>
      <c r="C153" s="85" t="s">
        <v>893</v>
      </c>
      <c r="D153" s="86"/>
      <c r="E153" s="86"/>
      <c r="F153" s="86"/>
      <c r="G153" s="86"/>
      <c r="H153" s="87"/>
      <c r="I153" s="86"/>
      <c r="J153" s="86">
        <v>0</v>
      </c>
      <c r="K153" s="86">
        <v>0</v>
      </c>
      <c r="L153" s="86">
        <v>0</v>
      </c>
      <c r="M153" s="86">
        <v>0</v>
      </c>
      <c r="N153" s="87">
        <f t="shared" si="30"/>
        <v>0</v>
      </c>
    </row>
    <row r="154" spans="2:14" ht="20.100000000000001" customHeight="1">
      <c r="B154" s="85" t="s">
        <v>344</v>
      </c>
      <c r="C154" s="85" t="s">
        <v>894</v>
      </c>
      <c r="D154" s="86"/>
      <c r="E154" s="86"/>
      <c r="F154" s="86"/>
      <c r="G154" s="86"/>
      <c r="H154" s="87"/>
      <c r="I154" s="86"/>
      <c r="J154" s="86">
        <v>0</v>
      </c>
      <c r="K154" s="86">
        <v>0</v>
      </c>
      <c r="L154" s="86">
        <v>0</v>
      </c>
      <c r="M154" s="86">
        <v>0</v>
      </c>
      <c r="N154" s="87">
        <f t="shared" si="30"/>
        <v>0</v>
      </c>
    </row>
    <row r="155" spans="2:14" ht="20.100000000000001" customHeight="1">
      <c r="B155" s="85" t="s">
        <v>344</v>
      </c>
      <c r="C155" s="85" t="s">
        <v>855</v>
      </c>
      <c r="D155" s="86"/>
      <c r="E155" s="86"/>
      <c r="F155" s="86"/>
      <c r="G155" s="86"/>
      <c r="H155" s="87"/>
      <c r="I155" s="86"/>
      <c r="J155" s="86">
        <v>0</v>
      </c>
      <c r="K155" s="86">
        <v>0</v>
      </c>
      <c r="L155" s="86">
        <v>0</v>
      </c>
      <c r="M155" s="86">
        <v>0</v>
      </c>
      <c r="N155" s="87">
        <f t="shared" si="30"/>
        <v>0</v>
      </c>
    </row>
    <row r="156" spans="2:14" ht="20.100000000000001" customHeight="1">
      <c r="B156" s="85" t="s">
        <v>344</v>
      </c>
      <c r="C156" s="85" t="s">
        <v>345</v>
      </c>
      <c r="D156" s="86"/>
      <c r="E156" s="86"/>
      <c r="F156" s="86"/>
      <c r="G156" s="86"/>
      <c r="H156" s="87"/>
      <c r="I156" s="86"/>
      <c r="J156" s="86">
        <v>0</v>
      </c>
      <c r="K156" s="86">
        <v>0</v>
      </c>
      <c r="L156" s="86">
        <v>0</v>
      </c>
      <c r="M156" s="86">
        <v>0</v>
      </c>
      <c r="N156" s="87">
        <f t="shared" si="30"/>
        <v>0</v>
      </c>
    </row>
    <row r="157" spans="2:14" ht="20.100000000000001" customHeight="1">
      <c r="B157" s="85" t="s">
        <v>344</v>
      </c>
      <c r="C157" s="85" t="s">
        <v>1293</v>
      </c>
      <c r="D157" s="86"/>
      <c r="E157" s="86"/>
      <c r="F157" s="86"/>
      <c r="G157" s="86"/>
      <c r="H157" s="87"/>
      <c r="I157" s="86"/>
      <c r="J157" s="86">
        <v>0</v>
      </c>
      <c r="K157" s="86">
        <v>0</v>
      </c>
      <c r="L157" s="86">
        <v>0</v>
      </c>
      <c r="M157" s="86">
        <v>0</v>
      </c>
      <c r="N157" s="87">
        <f t="shared" ref="N157" si="31">M157+L157+K157+J157</f>
        <v>0</v>
      </c>
    </row>
    <row r="158" spans="2:14" ht="20.100000000000001" customHeight="1">
      <c r="B158" s="85" t="s">
        <v>815</v>
      </c>
      <c r="C158" s="85" t="s">
        <v>816</v>
      </c>
      <c r="D158" s="86"/>
      <c r="E158" s="86"/>
      <c r="F158" s="86"/>
      <c r="G158" s="86"/>
      <c r="H158" s="87"/>
      <c r="I158" s="86"/>
      <c r="J158" s="86">
        <v>0</v>
      </c>
      <c r="K158" s="86">
        <v>0</v>
      </c>
      <c r="L158" s="86">
        <v>0</v>
      </c>
      <c r="M158" s="86">
        <v>0</v>
      </c>
      <c r="N158" s="87">
        <f t="shared" si="30"/>
        <v>0</v>
      </c>
    </row>
    <row r="159" spans="2:14" ht="20.100000000000001" customHeight="1">
      <c r="B159" s="85" t="s">
        <v>769</v>
      </c>
      <c r="C159" s="85" t="s">
        <v>770</v>
      </c>
      <c r="D159" s="86"/>
      <c r="E159" s="86"/>
      <c r="F159" s="86"/>
      <c r="G159" s="86"/>
      <c r="H159" s="87"/>
      <c r="I159" s="86"/>
      <c r="J159" s="86">
        <v>0</v>
      </c>
      <c r="K159" s="86">
        <v>0</v>
      </c>
      <c r="L159" s="86">
        <v>0</v>
      </c>
      <c r="M159" s="86">
        <v>0</v>
      </c>
      <c r="N159" s="87">
        <f t="shared" si="30"/>
        <v>0</v>
      </c>
    </row>
    <row r="160" spans="2:14" ht="20.100000000000001" customHeight="1">
      <c r="B160" s="85" t="s">
        <v>769</v>
      </c>
      <c r="C160" s="85" t="s">
        <v>921</v>
      </c>
      <c r="D160" s="86"/>
      <c r="E160" s="86"/>
      <c r="F160" s="86"/>
      <c r="G160" s="86"/>
      <c r="H160" s="87"/>
      <c r="I160" s="86"/>
      <c r="J160" s="86">
        <v>0</v>
      </c>
      <c r="K160" s="86">
        <v>0</v>
      </c>
      <c r="L160" s="86">
        <v>0</v>
      </c>
      <c r="M160" s="86">
        <v>0</v>
      </c>
      <c r="N160" s="87">
        <f t="shared" si="30"/>
        <v>0</v>
      </c>
    </row>
    <row r="161" spans="2:14" ht="20.100000000000001" customHeight="1">
      <c r="B161" s="96" t="s">
        <v>769</v>
      </c>
      <c r="C161" s="96" t="s">
        <v>771</v>
      </c>
      <c r="D161" s="98"/>
      <c r="E161" s="98"/>
      <c r="F161" s="98"/>
      <c r="G161" s="98"/>
      <c r="H161" s="99"/>
      <c r="I161" s="98"/>
      <c r="J161" s="98">
        <v>0</v>
      </c>
      <c r="K161" s="98">
        <v>0</v>
      </c>
      <c r="L161" s="98">
        <v>0</v>
      </c>
      <c r="M161" s="98">
        <v>0</v>
      </c>
      <c r="N161" s="99">
        <f t="shared" si="30"/>
        <v>0</v>
      </c>
    </row>
    <row r="162" spans="2:14" ht="20.100000000000001" customHeight="1">
      <c r="B162" s="85" t="s">
        <v>947</v>
      </c>
      <c r="C162" s="85" t="s">
        <v>948</v>
      </c>
      <c r="D162" s="86"/>
      <c r="E162" s="86"/>
      <c r="F162" s="86"/>
      <c r="G162" s="86"/>
      <c r="H162" s="87"/>
      <c r="I162" s="86"/>
      <c r="J162" s="86">
        <v>0</v>
      </c>
      <c r="K162" s="86">
        <v>0</v>
      </c>
      <c r="L162" s="86">
        <v>0</v>
      </c>
      <c r="M162" s="86">
        <v>0</v>
      </c>
      <c r="N162" s="87">
        <f t="shared" si="30"/>
        <v>0</v>
      </c>
    </row>
    <row r="163" spans="2:14" ht="20.100000000000001" customHeight="1">
      <c r="B163" s="85" t="s">
        <v>947</v>
      </c>
      <c r="C163" s="85" t="s">
        <v>1167</v>
      </c>
      <c r="D163" s="86"/>
      <c r="E163" s="86"/>
      <c r="F163" s="86"/>
      <c r="G163" s="86"/>
      <c r="H163" s="87"/>
      <c r="I163" s="86"/>
      <c r="J163" s="86">
        <v>0</v>
      </c>
      <c r="K163" s="86">
        <v>0</v>
      </c>
      <c r="L163" s="86">
        <v>0</v>
      </c>
      <c r="M163" s="86">
        <v>0</v>
      </c>
      <c r="N163" s="87">
        <f t="shared" ref="N163" si="32">M163+L163+K163+J163</f>
        <v>0</v>
      </c>
    </row>
    <row r="164" spans="2:14" ht="20.100000000000001" customHeight="1">
      <c r="B164" s="85" t="s">
        <v>947</v>
      </c>
      <c r="C164" s="85" t="s">
        <v>1294</v>
      </c>
      <c r="D164" s="86"/>
      <c r="E164" s="86"/>
      <c r="F164" s="86"/>
      <c r="G164" s="86"/>
      <c r="H164" s="87"/>
      <c r="I164" s="86"/>
      <c r="J164" s="86">
        <v>0</v>
      </c>
      <c r="K164" s="86">
        <v>0</v>
      </c>
      <c r="L164" s="86">
        <v>0</v>
      </c>
      <c r="M164" s="86">
        <v>0</v>
      </c>
      <c r="N164" s="87">
        <f t="shared" ref="N164" si="33">M164+L164+K164+J164</f>
        <v>0</v>
      </c>
    </row>
    <row r="165" spans="2:14" ht="20.100000000000001" customHeight="1">
      <c r="B165" s="85" t="s">
        <v>346</v>
      </c>
      <c r="C165" s="85" t="s">
        <v>949</v>
      </c>
      <c r="D165" s="86"/>
      <c r="E165" s="86"/>
      <c r="F165" s="86"/>
      <c r="G165" s="86"/>
      <c r="H165" s="87"/>
      <c r="I165" s="86"/>
      <c r="J165" s="86">
        <v>0</v>
      </c>
      <c r="K165" s="86">
        <v>0</v>
      </c>
      <c r="L165" s="86">
        <v>0</v>
      </c>
      <c r="M165" s="86">
        <v>0</v>
      </c>
      <c r="N165" s="87">
        <f t="shared" si="30"/>
        <v>0</v>
      </c>
    </row>
    <row r="166" spans="2:14" ht="20.100000000000001" customHeight="1">
      <c r="B166" s="85" t="s">
        <v>346</v>
      </c>
      <c r="C166" s="85" t="s">
        <v>1184</v>
      </c>
      <c r="D166" s="86"/>
      <c r="E166" s="86"/>
      <c r="F166" s="86"/>
      <c r="G166" s="86"/>
      <c r="H166" s="87"/>
      <c r="I166" s="86"/>
      <c r="J166" s="86">
        <v>0</v>
      </c>
      <c r="K166" s="86">
        <v>0</v>
      </c>
      <c r="L166" s="86">
        <v>0</v>
      </c>
      <c r="M166" s="86">
        <v>0</v>
      </c>
      <c r="N166" s="87">
        <f t="shared" ref="N166" si="34">M166+L166+K166+J166</f>
        <v>0</v>
      </c>
    </row>
    <row r="167" spans="2:14" ht="20.100000000000001" customHeight="1">
      <c r="B167" s="85" t="s">
        <v>346</v>
      </c>
      <c r="C167" s="85" t="s">
        <v>1295</v>
      </c>
      <c r="D167" s="86"/>
      <c r="E167" s="86"/>
      <c r="F167" s="86"/>
      <c r="G167" s="86"/>
      <c r="H167" s="87"/>
      <c r="I167" s="86"/>
      <c r="J167" s="86">
        <v>0</v>
      </c>
      <c r="K167" s="86">
        <v>0</v>
      </c>
      <c r="L167" s="86">
        <v>0</v>
      </c>
      <c r="M167" s="86">
        <v>0</v>
      </c>
      <c r="N167" s="87">
        <f t="shared" ref="N167" si="35">M167+L167+K167+J167</f>
        <v>0</v>
      </c>
    </row>
    <row r="168" spans="2:14" ht="20.100000000000001" customHeight="1">
      <c r="B168" s="85" t="s">
        <v>919</v>
      </c>
      <c r="C168" s="85" t="s">
        <v>920</v>
      </c>
      <c r="D168" s="86"/>
      <c r="E168" s="86"/>
      <c r="F168" s="86"/>
      <c r="G168" s="86"/>
      <c r="H168" s="87"/>
      <c r="I168" s="86"/>
      <c r="J168" s="86">
        <v>0</v>
      </c>
      <c r="K168" s="86">
        <v>0</v>
      </c>
      <c r="L168" s="86">
        <v>0</v>
      </c>
      <c r="M168" s="86">
        <v>0</v>
      </c>
      <c r="N168" s="87">
        <f t="shared" si="30"/>
        <v>0</v>
      </c>
    </row>
    <row r="169" spans="2:14" ht="20.100000000000001" customHeight="1">
      <c r="B169" s="85" t="s">
        <v>919</v>
      </c>
      <c r="C169" s="85" t="s">
        <v>1101</v>
      </c>
      <c r="D169" s="86"/>
      <c r="E169" s="86"/>
      <c r="F169" s="86"/>
      <c r="G169" s="86"/>
      <c r="H169" s="87"/>
      <c r="I169" s="86"/>
      <c r="J169" s="86">
        <v>0</v>
      </c>
      <c r="K169" s="86">
        <v>0</v>
      </c>
      <c r="L169" s="86">
        <v>0</v>
      </c>
      <c r="M169" s="86">
        <v>0</v>
      </c>
      <c r="N169" s="87">
        <f t="shared" si="30"/>
        <v>0</v>
      </c>
    </row>
    <row r="170" spans="2:14" ht="20.100000000000001" customHeight="1">
      <c r="B170" s="85" t="s">
        <v>707</v>
      </c>
      <c r="C170" s="85" t="s">
        <v>708</v>
      </c>
      <c r="D170" s="86"/>
      <c r="E170" s="86"/>
      <c r="F170" s="86"/>
      <c r="G170" s="86"/>
      <c r="H170" s="87"/>
      <c r="I170" s="86"/>
      <c r="J170" s="86">
        <v>0</v>
      </c>
      <c r="K170" s="86">
        <v>0</v>
      </c>
      <c r="L170" s="86">
        <v>0</v>
      </c>
      <c r="M170" s="86">
        <v>0</v>
      </c>
      <c r="N170" s="87">
        <f t="shared" si="30"/>
        <v>0</v>
      </c>
    </row>
    <row r="171" spans="2:14" ht="20.100000000000001" customHeight="1">
      <c r="B171" s="85" t="s">
        <v>707</v>
      </c>
      <c r="C171" s="85" t="s">
        <v>939</v>
      </c>
      <c r="D171" s="86"/>
      <c r="E171" s="86"/>
      <c r="F171" s="86"/>
      <c r="G171" s="86"/>
      <c r="H171" s="87"/>
      <c r="I171" s="86"/>
      <c r="J171" s="86">
        <v>0</v>
      </c>
      <c r="K171" s="86">
        <v>0</v>
      </c>
      <c r="L171" s="86">
        <v>0</v>
      </c>
      <c r="M171" s="86">
        <v>0</v>
      </c>
      <c r="N171" s="87">
        <f t="shared" si="30"/>
        <v>0</v>
      </c>
    </row>
    <row r="172" spans="2:14" ht="20.100000000000001" customHeight="1">
      <c r="B172" s="85" t="s">
        <v>210</v>
      </c>
      <c r="C172" s="85" t="s">
        <v>211</v>
      </c>
      <c r="D172" s="86"/>
      <c r="E172" s="86"/>
      <c r="F172" s="86"/>
      <c r="G172" s="86"/>
      <c r="H172" s="87"/>
      <c r="I172" s="86"/>
      <c r="J172" s="86">
        <v>0</v>
      </c>
      <c r="K172" s="86">
        <v>0</v>
      </c>
      <c r="L172" s="86">
        <v>0</v>
      </c>
      <c r="M172" s="86">
        <v>0</v>
      </c>
      <c r="N172" s="87">
        <f t="shared" si="30"/>
        <v>0</v>
      </c>
    </row>
    <row r="173" spans="2:14" ht="20.100000000000001" customHeight="1">
      <c r="B173" s="85" t="s">
        <v>210</v>
      </c>
      <c r="C173" s="85" t="s">
        <v>550</v>
      </c>
      <c r="D173" s="86"/>
      <c r="E173" s="86"/>
      <c r="F173" s="86"/>
      <c r="G173" s="86"/>
      <c r="H173" s="87"/>
      <c r="I173" s="86"/>
      <c r="J173" s="86">
        <v>0</v>
      </c>
      <c r="K173" s="86">
        <v>0</v>
      </c>
      <c r="L173" s="86">
        <v>0</v>
      </c>
      <c r="M173" s="86">
        <v>0</v>
      </c>
      <c r="N173" s="87">
        <f t="shared" si="30"/>
        <v>0</v>
      </c>
    </row>
    <row r="174" spans="2:14" ht="20.100000000000001" customHeight="1">
      <c r="B174" s="85" t="s">
        <v>705</v>
      </c>
      <c r="C174" s="85" t="s">
        <v>706</v>
      </c>
      <c r="D174" s="86"/>
      <c r="E174" s="86"/>
      <c r="F174" s="86"/>
      <c r="G174" s="86"/>
      <c r="H174" s="87"/>
      <c r="I174" s="86"/>
      <c r="J174" s="86">
        <v>0</v>
      </c>
      <c r="K174" s="86">
        <v>0</v>
      </c>
      <c r="L174" s="86">
        <v>0</v>
      </c>
      <c r="M174" s="86">
        <v>0</v>
      </c>
      <c r="N174" s="87">
        <f t="shared" si="30"/>
        <v>0</v>
      </c>
    </row>
    <row r="175" spans="2:14" ht="20.100000000000001" customHeight="1">
      <c r="B175" s="85" t="s">
        <v>705</v>
      </c>
      <c r="C175" s="85" t="s">
        <v>942</v>
      </c>
      <c r="D175" s="86"/>
      <c r="E175" s="86"/>
      <c r="F175" s="86"/>
      <c r="G175" s="86"/>
      <c r="H175" s="87"/>
      <c r="I175" s="86"/>
      <c r="J175" s="86">
        <v>0</v>
      </c>
      <c r="K175" s="86">
        <v>0</v>
      </c>
      <c r="L175" s="86">
        <v>0</v>
      </c>
      <c r="M175" s="86">
        <v>0</v>
      </c>
      <c r="N175" s="87">
        <f t="shared" si="30"/>
        <v>0</v>
      </c>
    </row>
    <row r="176" spans="2:14" ht="20.100000000000001" customHeight="1">
      <c r="B176" s="85" t="s">
        <v>705</v>
      </c>
      <c r="C176" s="85" t="s">
        <v>890</v>
      </c>
      <c r="D176" s="86"/>
      <c r="E176" s="86"/>
      <c r="F176" s="86"/>
      <c r="G176" s="86"/>
      <c r="H176" s="87"/>
      <c r="I176" s="86"/>
      <c r="J176" s="86">
        <v>0</v>
      </c>
      <c r="K176" s="86">
        <v>0</v>
      </c>
      <c r="L176" s="86">
        <v>0</v>
      </c>
      <c r="M176" s="86">
        <v>0</v>
      </c>
      <c r="N176" s="87">
        <f t="shared" si="30"/>
        <v>0</v>
      </c>
    </row>
    <row r="177" spans="2:14" ht="20.100000000000001" customHeight="1">
      <c r="B177" s="85" t="s">
        <v>849</v>
      </c>
      <c r="C177" s="85" t="s">
        <v>851</v>
      </c>
      <c r="D177" s="86"/>
      <c r="E177" s="86"/>
      <c r="F177" s="86"/>
      <c r="G177" s="86"/>
      <c r="H177" s="87"/>
      <c r="I177" s="86"/>
      <c r="J177" s="86">
        <v>0</v>
      </c>
      <c r="K177" s="86">
        <v>0</v>
      </c>
      <c r="L177" s="86">
        <v>0</v>
      </c>
      <c r="M177" s="86">
        <v>0</v>
      </c>
      <c r="N177" s="87">
        <f t="shared" si="30"/>
        <v>0</v>
      </c>
    </row>
    <row r="178" spans="2:14" ht="20.100000000000001" customHeight="1">
      <c r="B178" s="85" t="s">
        <v>849</v>
      </c>
      <c r="C178" s="85" t="s">
        <v>850</v>
      </c>
      <c r="D178" s="86"/>
      <c r="E178" s="86"/>
      <c r="F178" s="86"/>
      <c r="G178" s="86"/>
      <c r="H178" s="87"/>
      <c r="I178" s="86"/>
      <c r="J178" s="86">
        <v>0</v>
      </c>
      <c r="K178" s="86">
        <v>0</v>
      </c>
      <c r="L178" s="86">
        <v>0</v>
      </c>
      <c r="M178" s="86">
        <v>0</v>
      </c>
      <c r="N178" s="87">
        <f t="shared" si="30"/>
        <v>0</v>
      </c>
    </row>
    <row r="179" spans="2:14" ht="20.100000000000001" customHeight="1">
      <c r="B179" s="85" t="s">
        <v>212</v>
      </c>
      <c r="C179" s="85" t="s">
        <v>213</v>
      </c>
      <c r="D179" s="86"/>
      <c r="E179" s="86"/>
      <c r="F179" s="86"/>
      <c r="G179" s="86"/>
      <c r="H179" s="87"/>
      <c r="I179" s="86"/>
      <c r="J179" s="86">
        <v>0</v>
      </c>
      <c r="K179" s="86">
        <v>0</v>
      </c>
      <c r="L179" s="86">
        <v>0</v>
      </c>
      <c r="M179" s="86">
        <v>0</v>
      </c>
      <c r="N179" s="87">
        <v>0</v>
      </c>
    </row>
    <row r="180" spans="2:14" ht="20.100000000000001" customHeight="1">
      <c r="B180" s="85" t="s">
        <v>212</v>
      </c>
      <c r="C180" s="85" t="s">
        <v>214</v>
      </c>
      <c r="D180" s="86"/>
      <c r="E180" s="86"/>
      <c r="F180" s="86"/>
      <c r="G180" s="86"/>
      <c r="H180" s="87"/>
      <c r="I180" s="86"/>
      <c r="J180" s="86">
        <v>0</v>
      </c>
      <c r="K180" s="86">
        <v>0</v>
      </c>
      <c r="L180" s="86">
        <v>0</v>
      </c>
      <c r="M180" s="86">
        <v>0</v>
      </c>
      <c r="N180" s="87">
        <f t="shared" ref="N180:N228" si="36">M180+L180+K180+J180</f>
        <v>0</v>
      </c>
    </row>
    <row r="181" spans="2:14" ht="20.100000000000001" customHeight="1">
      <c r="B181" s="85" t="s">
        <v>212</v>
      </c>
      <c r="C181" s="85" t="s">
        <v>1292</v>
      </c>
      <c r="D181" s="86"/>
      <c r="E181" s="86"/>
      <c r="F181" s="86"/>
      <c r="G181" s="86"/>
      <c r="H181" s="87"/>
      <c r="I181" s="86"/>
      <c r="J181" s="86">
        <v>0</v>
      </c>
      <c r="K181" s="86">
        <v>0</v>
      </c>
      <c r="L181" s="86">
        <v>0</v>
      </c>
      <c r="M181" s="86">
        <v>0</v>
      </c>
      <c r="N181" s="87">
        <f t="shared" si="36"/>
        <v>0</v>
      </c>
    </row>
    <row r="182" spans="2:14" ht="20.100000000000001" customHeight="1">
      <c r="B182" s="85" t="s">
        <v>342</v>
      </c>
      <c r="C182" s="85" t="s">
        <v>343</v>
      </c>
      <c r="D182" s="86"/>
      <c r="E182" s="86"/>
      <c r="F182" s="86"/>
      <c r="G182" s="86"/>
      <c r="H182" s="87"/>
      <c r="I182" s="86"/>
      <c r="J182" s="86">
        <v>0</v>
      </c>
      <c r="K182" s="86">
        <v>0</v>
      </c>
      <c r="L182" s="86">
        <v>0</v>
      </c>
      <c r="M182" s="86">
        <v>0</v>
      </c>
      <c r="N182" s="87">
        <f t="shared" si="36"/>
        <v>0</v>
      </c>
    </row>
    <row r="183" spans="2:14" ht="20.100000000000001" customHeight="1">
      <c r="B183" s="85" t="s">
        <v>342</v>
      </c>
      <c r="C183" s="85" t="s">
        <v>891</v>
      </c>
      <c r="D183" s="86"/>
      <c r="E183" s="86"/>
      <c r="F183" s="86"/>
      <c r="G183" s="86"/>
      <c r="H183" s="87"/>
      <c r="I183" s="86"/>
      <c r="J183" s="86">
        <v>0</v>
      </c>
      <c r="K183" s="86">
        <v>0</v>
      </c>
      <c r="L183" s="86">
        <v>0</v>
      </c>
      <c r="M183" s="86">
        <v>0</v>
      </c>
      <c r="N183" s="87">
        <f t="shared" si="36"/>
        <v>0</v>
      </c>
    </row>
    <row r="184" spans="2:14" ht="20.100000000000001" customHeight="1">
      <c r="B184" s="85" t="s">
        <v>342</v>
      </c>
      <c r="C184" s="85" t="s">
        <v>892</v>
      </c>
      <c r="D184" s="86"/>
      <c r="E184" s="86"/>
      <c r="F184" s="86"/>
      <c r="G184" s="86"/>
      <c r="H184" s="87"/>
      <c r="I184" s="86"/>
      <c r="J184" s="86">
        <v>0</v>
      </c>
      <c r="K184" s="86">
        <v>0</v>
      </c>
      <c r="L184" s="86">
        <v>0</v>
      </c>
      <c r="M184" s="86">
        <v>0</v>
      </c>
      <c r="N184" s="87">
        <f t="shared" si="36"/>
        <v>0</v>
      </c>
    </row>
    <row r="185" spans="2:14" ht="20.100000000000001" customHeight="1">
      <c r="B185" s="85" t="s">
        <v>943</v>
      </c>
      <c r="C185" s="85" t="s">
        <v>944</v>
      </c>
      <c r="D185" s="86"/>
      <c r="E185" s="86"/>
      <c r="F185" s="86"/>
      <c r="G185" s="86"/>
      <c r="H185" s="87"/>
      <c r="I185" s="86"/>
      <c r="J185" s="86">
        <v>0</v>
      </c>
      <c r="K185" s="86">
        <v>0</v>
      </c>
      <c r="L185" s="86">
        <v>0</v>
      </c>
      <c r="M185" s="86">
        <v>0</v>
      </c>
      <c r="N185" s="87">
        <f t="shared" si="36"/>
        <v>0</v>
      </c>
    </row>
    <row r="186" spans="2:14" ht="20.100000000000001" customHeight="1">
      <c r="B186" s="85" t="s">
        <v>552</v>
      </c>
      <c r="C186" s="85" t="s">
        <v>553</v>
      </c>
      <c r="D186" s="86"/>
      <c r="E186" s="86"/>
      <c r="F186" s="86"/>
      <c r="G186" s="86"/>
      <c r="H186" s="87"/>
      <c r="I186" s="86"/>
      <c r="J186" s="86">
        <v>0</v>
      </c>
      <c r="K186" s="86">
        <v>0</v>
      </c>
      <c r="L186" s="86">
        <v>0</v>
      </c>
      <c r="M186" s="86">
        <v>0</v>
      </c>
      <c r="N186" s="87">
        <f t="shared" si="36"/>
        <v>0</v>
      </c>
    </row>
    <row r="187" spans="2:14" ht="20.100000000000001" customHeight="1">
      <c r="B187" s="85" t="s">
        <v>552</v>
      </c>
      <c r="C187" s="85" t="s">
        <v>554</v>
      </c>
      <c r="D187" s="86"/>
      <c r="E187" s="86"/>
      <c r="F187" s="86"/>
      <c r="G187" s="86"/>
      <c r="H187" s="87"/>
      <c r="I187" s="86"/>
      <c r="J187" s="86">
        <v>0</v>
      </c>
      <c r="K187" s="86">
        <v>0</v>
      </c>
      <c r="L187" s="86">
        <v>0</v>
      </c>
      <c r="M187" s="86">
        <v>0</v>
      </c>
      <c r="N187" s="87">
        <f t="shared" si="36"/>
        <v>0</v>
      </c>
    </row>
    <row r="188" spans="2:14" ht="20.100000000000001" customHeight="1">
      <c r="B188" s="85" t="s">
        <v>751</v>
      </c>
      <c r="C188" s="85" t="s">
        <v>752</v>
      </c>
      <c r="D188" s="86"/>
      <c r="E188" s="86"/>
      <c r="F188" s="86"/>
      <c r="G188" s="86"/>
      <c r="H188" s="87"/>
      <c r="I188" s="86"/>
      <c r="J188" s="86">
        <v>0</v>
      </c>
      <c r="K188" s="86">
        <v>0</v>
      </c>
      <c r="L188" s="86">
        <v>0</v>
      </c>
      <c r="M188" s="86">
        <v>0</v>
      </c>
      <c r="N188" s="87">
        <f t="shared" si="36"/>
        <v>0</v>
      </c>
    </row>
    <row r="189" spans="2:14" ht="20.100000000000001" customHeight="1">
      <c r="B189" s="85" t="s">
        <v>945</v>
      </c>
      <c r="C189" s="85" t="s">
        <v>946</v>
      </c>
      <c r="D189" s="86"/>
      <c r="E189" s="86"/>
      <c r="F189" s="86"/>
      <c r="G189" s="86"/>
      <c r="H189" s="87"/>
      <c r="I189" s="86"/>
      <c r="J189" s="86">
        <v>0</v>
      </c>
      <c r="K189" s="86">
        <v>0</v>
      </c>
      <c r="L189" s="86">
        <v>0</v>
      </c>
      <c r="M189" s="86">
        <v>0</v>
      </c>
      <c r="N189" s="87">
        <f t="shared" si="36"/>
        <v>0</v>
      </c>
    </row>
    <row r="190" spans="2:14" ht="20.100000000000001" customHeight="1">
      <c r="B190" s="85" t="s">
        <v>1239</v>
      </c>
      <c r="C190" s="85" t="s">
        <v>1240</v>
      </c>
      <c r="D190" s="86"/>
      <c r="E190" s="86"/>
      <c r="F190" s="86"/>
      <c r="G190" s="86"/>
      <c r="H190" s="87"/>
      <c r="I190" s="86"/>
      <c r="J190" s="86">
        <v>0</v>
      </c>
      <c r="K190" s="86">
        <v>0</v>
      </c>
      <c r="L190" s="86">
        <v>0</v>
      </c>
      <c r="M190" s="86">
        <v>0</v>
      </c>
      <c r="N190" s="87">
        <f t="shared" ref="N190" si="37">M190+L190+K190+J190</f>
        <v>0</v>
      </c>
    </row>
    <row r="191" spans="2:14" ht="20.100000000000001" customHeight="1">
      <c r="B191" s="85" t="s">
        <v>555</v>
      </c>
      <c r="C191" s="85" t="s">
        <v>556</v>
      </c>
      <c r="D191" s="86"/>
      <c r="E191" s="86"/>
      <c r="F191" s="86"/>
      <c r="G191" s="86"/>
      <c r="H191" s="87"/>
      <c r="I191" s="86"/>
      <c r="J191" s="86">
        <v>0</v>
      </c>
      <c r="K191" s="86">
        <v>0</v>
      </c>
      <c r="L191" s="86">
        <v>0</v>
      </c>
      <c r="M191" s="86">
        <v>0</v>
      </c>
      <c r="N191" s="87">
        <f t="shared" si="36"/>
        <v>0</v>
      </c>
    </row>
    <row r="192" spans="2:14" ht="20.100000000000001" customHeight="1">
      <c r="B192" s="85" t="s">
        <v>737</v>
      </c>
      <c r="C192" s="85" t="s">
        <v>738</v>
      </c>
      <c r="D192" s="86"/>
      <c r="E192" s="86"/>
      <c r="F192" s="86"/>
      <c r="G192" s="86"/>
      <c r="H192" s="87"/>
      <c r="I192" s="86"/>
      <c r="J192" s="86">
        <v>0</v>
      </c>
      <c r="K192" s="86">
        <v>0</v>
      </c>
      <c r="L192" s="86">
        <v>0</v>
      </c>
      <c r="M192" s="86">
        <v>0</v>
      </c>
      <c r="N192" s="87">
        <f t="shared" si="36"/>
        <v>0</v>
      </c>
    </row>
    <row r="193" spans="2:14" ht="20.100000000000001" customHeight="1">
      <c r="B193" s="85" t="s">
        <v>737</v>
      </c>
      <c r="C193" s="85" t="s">
        <v>950</v>
      </c>
      <c r="D193" s="86"/>
      <c r="E193" s="86"/>
      <c r="F193" s="86"/>
      <c r="G193" s="86"/>
      <c r="H193" s="87"/>
      <c r="I193" s="86"/>
      <c r="J193" s="86">
        <v>0</v>
      </c>
      <c r="K193" s="86">
        <v>0</v>
      </c>
      <c r="L193" s="86">
        <v>0</v>
      </c>
      <c r="M193" s="86">
        <v>0</v>
      </c>
      <c r="N193" s="87">
        <f t="shared" si="36"/>
        <v>0</v>
      </c>
    </row>
    <row r="194" spans="2:14" ht="20.100000000000001" customHeight="1">
      <c r="B194" s="85" t="s">
        <v>557</v>
      </c>
      <c r="C194" s="85" t="s">
        <v>558</v>
      </c>
      <c r="D194" s="86"/>
      <c r="E194" s="86"/>
      <c r="F194" s="86"/>
      <c r="G194" s="86"/>
      <c r="H194" s="87"/>
      <c r="I194" s="86"/>
      <c r="J194" s="86">
        <v>0</v>
      </c>
      <c r="K194" s="86">
        <v>0</v>
      </c>
      <c r="L194" s="86">
        <v>0</v>
      </c>
      <c r="M194" s="86">
        <v>0</v>
      </c>
      <c r="N194" s="87">
        <f t="shared" si="36"/>
        <v>0</v>
      </c>
    </row>
    <row r="195" spans="2:14" ht="20.100000000000001" customHeight="1">
      <c r="B195" s="85" t="s">
        <v>557</v>
      </c>
      <c r="C195" s="85" t="s">
        <v>856</v>
      </c>
      <c r="D195" s="86"/>
      <c r="E195" s="86"/>
      <c r="F195" s="86"/>
      <c r="G195" s="86"/>
      <c r="H195" s="87"/>
      <c r="I195" s="86"/>
      <c r="J195" s="86">
        <v>0</v>
      </c>
      <c r="K195" s="86">
        <v>0</v>
      </c>
      <c r="L195" s="86">
        <v>0</v>
      </c>
      <c r="M195" s="86">
        <v>0</v>
      </c>
      <c r="N195" s="87">
        <f t="shared" si="36"/>
        <v>0</v>
      </c>
    </row>
    <row r="196" spans="2:14" ht="20.100000000000001" customHeight="1">
      <c r="B196" s="85" t="s">
        <v>559</v>
      </c>
      <c r="C196" s="85" t="s">
        <v>560</v>
      </c>
      <c r="D196" s="86"/>
      <c r="E196" s="86"/>
      <c r="F196" s="86"/>
      <c r="G196" s="86"/>
      <c r="H196" s="87"/>
      <c r="I196" s="86"/>
      <c r="J196" s="86">
        <v>0</v>
      </c>
      <c r="K196" s="86">
        <v>0</v>
      </c>
      <c r="L196" s="86">
        <v>0</v>
      </c>
      <c r="M196" s="86">
        <v>0</v>
      </c>
      <c r="N196" s="87">
        <f t="shared" si="36"/>
        <v>0</v>
      </c>
    </row>
    <row r="197" spans="2:14" ht="20.100000000000001" customHeight="1">
      <c r="B197" s="85" t="s">
        <v>559</v>
      </c>
      <c r="C197" s="85" t="s">
        <v>899</v>
      </c>
      <c r="D197" s="86"/>
      <c r="E197" s="86"/>
      <c r="F197" s="86"/>
      <c r="G197" s="86"/>
      <c r="H197" s="87"/>
      <c r="I197" s="86"/>
      <c r="J197" s="86">
        <v>0</v>
      </c>
      <c r="K197" s="86">
        <v>0</v>
      </c>
      <c r="L197" s="86">
        <v>0</v>
      </c>
      <c r="M197" s="86">
        <v>0</v>
      </c>
      <c r="N197" s="87">
        <f t="shared" si="36"/>
        <v>0</v>
      </c>
    </row>
    <row r="198" spans="2:14" ht="20.100000000000001" customHeight="1">
      <c r="B198" s="85" t="s">
        <v>559</v>
      </c>
      <c r="C198" s="85" t="s">
        <v>561</v>
      </c>
      <c r="D198" s="86"/>
      <c r="E198" s="86"/>
      <c r="F198" s="86"/>
      <c r="G198" s="86"/>
      <c r="H198" s="87"/>
      <c r="I198" s="86"/>
      <c r="J198" s="86">
        <v>0</v>
      </c>
      <c r="K198" s="86">
        <v>0</v>
      </c>
      <c r="L198" s="86">
        <v>0</v>
      </c>
      <c r="M198" s="86">
        <v>0</v>
      </c>
      <c r="N198" s="87">
        <f t="shared" si="36"/>
        <v>0</v>
      </c>
    </row>
    <row r="199" spans="2:14" ht="20.100000000000001" customHeight="1">
      <c r="B199" s="85" t="s">
        <v>347</v>
      </c>
      <c r="C199" s="85" t="s">
        <v>349</v>
      </c>
      <c r="D199" s="86"/>
      <c r="E199" s="86"/>
      <c r="F199" s="86"/>
      <c r="G199" s="86"/>
      <c r="H199" s="87"/>
      <c r="I199" s="86"/>
      <c r="J199" s="86">
        <v>0</v>
      </c>
      <c r="K199" s="86">
        <v>0</v>
      </c>
      <c r="L199" s="86">
        <v>0</v>
      </c>
      <c r="M199" s="86">
        <v>0</v>
      </c>
      <c r="N199" s="87">
        <f t="shared" si="36"/>
        <v>0</v>
      </c>
    </row>
    <row r="200" spans="2:14" ht="20.100000000000001" customHeight="1">
      <c r="B200" s="85" t="s">
        <v>347</v>
      </c>
      <c r="C200" s="85" t="s">
        <v>348</v>
      </c>
      <c r="D200" s="86"/>
      <c r="E200" s="86"/>
      <c r="F200" s="86"/>
      <c r="G200" s="86"/>
      <c r="H200" s="87"/>
      <c r="I200" s="86"/>
      <c r="J200" s="86">
        <v>0</v>
      </c>
      <c r="K200" s="86">
        <v>0</v>
      </c>
      <c r="L200" s="86">
        <v>0</v>
      </c>
      <c r="M200" s="86">
        <v>0</v>
      </c>
      <c r="N200" s="87">
        <f t="shared" si="36"/>
        <v>0</v>
      </c>
    </row>
    <row r="201" spans="2:14" ht="20.100000000000001" customHeight="1">
      <c r="B201" s="85" t="s">
        <v>895</v>
      </c>
      <c r="C201" s="85" t="s">
        <v>896</v>
      </c>
      <c r="D201" s="86"/>
      <c r="E201" s="86"/>
      <c r="F201" s="86"/>
      <c r="G201" s="86"/>
      <c r="H201" s="87"/>
      <c r="I201" s="86"/>
      <c r="J201" s="86">
        <v>0</v>
      </c>
      <c r="K201" s="86">
        <v>0</v>
      </c>
      <c r="L201" s="86">
        <v>0</v>
      </c>
      <c r="M201" s="86">
        <v>0</v>
      </c>
      <c r="N201" s="87">
        <f t="shared" si="36"/>
        <v>0</v>
      </c>
    </row>
    <row r="202" spans="2:14" ht="20.100000000000001" customHeight="1">
      <c r="B202" s="85" t="s">
        <v>897</v>
      </c>
      <c r="C202" s="85" t="s">
        <v>898</v>
      </c>
      <c r="D202" s="86"/>
      <c r="E202" s="86"/>
      <c r="F202" s="86"/>
      <c r="G202" s="86"/>
      <c r="H202" s="87"/>
      <c r="I202" s="86"/>
      <c r="J202" s="86">
        <v>0</v>
      </c>
      <c r="K202" s="86">
        <v>0</v>
      </c>
      <c r="L202" s="86">
        <v>0</v>
      </c>
      <c r="M202" s="86">
        <v>0</v>
      </c>
      <c r="N202" s="87">
        <f t="shared" si="36"/>
        <v>0</v>
      </c>
    </row>
    <row r="203" spans="2:14" ht="20.100000000000001" customHeight="1">
      <c r="B203" s="85" t="s">
        <v>951</v>
      </c>
      <c r="C203" s="85" t="s">
        <v>952</v>
      </c>
      <c r="D203" s="86"/>
      <c r="E203" s="86"/>
      <c r="F203" s="86"/>
      <c r="G203" s="86"/>
      <c r="H203" s="87"/>
      <c r="I203" s="86"/>
      <c r="J203" s="86">
        <v>0</v>
      </c>
      <c r="K203" s="86">
        <v>0</v>
      </c>
      <c r="L203" s="86">
        <v>0</v>
      </c>
      <c r="M203" s="86">
        <v>0</v>
      </c>
      <c r="N203" s="87">
        <f t="shared" si="36"/>
        <v>0</v>
      </c>
    </row>
    <row r="204" spans="2:14" ht="20.100000000000001" customHeight="1">
      <c r="B204" s="85" t="s">
        <v>215</v>
      </c>
      <c r="C204" s="85" t="s">
        <v>953</v>
      </c>
      <c r="D204" s="86"/>
      <c r="E204" s="86"/>
      <c r="F204" s="86"/>
      <c r="G204" s="86"/>
      <c r="H204" s="87"/>
      <c r="I204" s="86"/>
      <c r="J204" s="86">
        <v>0</v>
      </c>
      <c r="K204" s="86">
        <v>0</v>
      </c>
      <c r="L204" s="86">
        <v>0</v>
      </c>
      <c r="M204" s="86">
        <v>0</v>
      </c>
      <c r="N204" s="87">
        <f t="shared" si="36"/>
        <v>0</v>
      </c>
    </row>
    <row r="205" spans="2:14" ht="20.100000000000001" customHeight="1">
      <c r="B205" s="85" t="s">
        <v>215</v>
      </c>
      <c r="C205" s="85" t="s">
        <v>1241</v>
      </c>
      <c r="D205" s="86"/>
      <c r="E205" s="86"/>
      <c r="F205" s="86"/>
      <c r="G205" s="86"/>
      <c r="H205" s="87"/>
      <c r="I205" s="86"/>
      <c r="J205" s="86">
        <v>0</v>
      </c>
      <c r="K205" s="86">
        <v>0</v>
      </c>
      <c r="L205" s="86">
        <v>0</v>
      </c>
      <c r="M205" s="86">
        <v>0</v>
      </c>
      <c r="N205" s="87">
        <f t="shared" si="36"/>
        <v>0</v>
      </c>
    </row>
    <row r="206" spans="2:14" ht="20.100000000000001" customHeight="1">
      <c r="B206" s="85" t="s">
        <v>350</v>
      </c>
      <c r="C206" s="85" t="s">
        <v>351</v>
      </c>
      <c r="D206" s="86"/>
      <c r="E206" s="86"/>
      <c r="F206" s="86"/>
      <c r="G206" s="86"/>
      <c r="H206" s="87"/>
      <c r="I206" s="86"/>
      <c r="J206" s="86">
        <v>0</v>
      </c>
      <c r="K206" s="86">
        <v>0</v>
      </c>
      <c r="L206" s="86">
        <v>0</v>
      </c>
      <c r="M206" s="86">
        <v>0</v>
      </c>
      <c r="N206" s="87">
        <f t="shared" si="36"/>
        <v>0</v>
      </c>
    </row>
    <row r="207" spans="2:14" ht="20.100000000000001" customHeight="1">
      <c r="B207" s="85" t="s">
        <v>350</v>
      </c>
      <c r="C207" s="85" t="s">
        <v>352</v>
      </c>
      <c r="D207" s="86"/>
      <c r="E207" s="86"/>
      <c r="F207" s="86"/>
      <c r="G207" s="86"/>
      <c r="H207" s="87"/>
      <c r="I207" s="86"/>
      <c r="J207" s="86">
        <v>0</v>
      </c>
      <c r="K207" s="86">
        <v>0</v>
      </c>
      <c r="L207" s="86">
        <v>0</v>
      </c>
      <c r="M207" s="86">
        <v>0</v>
      </c>
      <c r="N207" s="87">
        <f t="shared" si="36"/>
        <v>0</v>
      </c>
    </row>
    <row r="208" spans="2:14" ht="20.100000000000001" customHeight="1">
      <c r="B208" s="85" t="s">
        <v>353</v>
      </c>
      <c r="C208" s="85" t="s">
        <v>734</v>
      </c>
      <c r="D208" s="86"/>
      <c r="E208" s="86"/>
      <c r="F208" s="86"/>
      <c r="G208" s="86"/>
      <c r="H208" s="87"/>
      <c r="I208" s="86"/>
      <c r="J208" s="86">
        <v>0</v>
      </c>
      <c r="K208" s="86">
        <v>0</v>
      </c>
      <c r="L208" s="86">
        <v>0</v>
      </c>
      <c r="M208" s="86">
        <v>0</v>
      </c>
      <c r="N208" s="87">
        <f t="shared" si="36"/>
        <v>0</v>
      </c>
    </row>
    <row r="209" spans="2:14" ht="20.100000000000001" customHeight="1">
      <c r="B209" s="85" t="s">
        <v>735</v>
      </c>
      <c r="C209" s="85" t="s">
        <v>736</v>
      </c>
      <c r="D209" s="86"/>
      <c r="E209" s="86"/>
      <c r="F209" s="86"/>
      <c r="G209" s="86"/>
      <c r="H209" s="87"/>
      <c r="I209" s="86"/>
      <c r="J209" s="86">
        <v>0</v>
      </c>
      <c r="K209" s="86">
        <v>0</v>
      </c>
      <c r="L209" s="86">
        <v>0</v>
      </c>
      <c r="M209" s="86">
        <v>0</v>
      </c>
      <c r="N209" s="87">
        <f t="shared" si="36"/>
        <v>0</v>
      </c>
    </row>
    <row r="210" spans="2:14" ht="20.100000000000001" customHeight="1">
      <c r="B210" s="85" t="s">
        <v>992</v>
      </c>
      <c r="C210" s="85" t="s">
        <v>993</v>
      </c>
      <c r="D210" s="86"/>
      <c r="E210" s="86"/>
      <c r="F210" s="86"/>
      <c r="G210" s="86"/>
      <c r="H210" s="87"/>
      <c r="I210" s="86"/>
      <c r="J210" s="86">
        <v>0</v>
      </c>
      <c r="K210" s="86">
        <v>0</v>
      </c>
      <c r="L210" s="86">
        <v>0</v>
      </c>
      <c r="M210" s="86">
        <v>0</v>
      </c>
      <c r="N210" s="87">
        <f t="shared" si="36"/>
        <v>0</v>
      </c>
    </row>
    <row r="211" spans="2:14" ht="20.100000000000001" customHeight="1">
      <c r="B211" s="85" t="s">
        <v>1102</v>
      </c>
      <c r="C211" s="85" t="s">
        <v>1103</v>
      </c>
      <c r="D211" s="86"/>
      <c r="E211" s="86"/>
      <c r="F211" s="86"/>
      <c r="G211" s="86"/>
      <c r="H211" s="87"/>
      <c r="I211" s="86"/>
      <c r="J211" s="86">
        <v>0</v>
      </c>
      <c r="K211" s="86">
        <v>0</v>
      </c>
      <c r="L211" s="86">
        <v>0</v>
      </c>
      <c r="M211" s="86">
        <v>0</v>
      </c>
      <c r="N211" s="87">
        <f t="shared" si="36"/>
        <v>0</v>
      </c>
    </row>
    <row r="212" spans="2:14" ht="20.100000000000001" customHeight="1">
      <c r="B212" s="85" t="s">
        <v>1102</v>
      </c>
      <c r="C212" s="85" t="s">
        <v>1185</v>
      </c>
      <c r="D212" s="86"/>
      <c r="E212" s="86"/>
      <c r="F212" s="86"/>
      <c r="G212" s="86"/>
      <c r="H212" s="87"/>
      <c r="I212" s="86"/>
      <c r="J212" s="86">
        <v>0</v>
      </c>
      <c r="K212" s="86">
        <v>0</v>
      </c>
      <c r="L212" s="86">
        <v>0</v>
      </c>
      <c r="M212" s="86">
        <v>0</v>
      </c>
      <c r="N212" s="87">
        <f t="shared" si="36"/>
        <v>0</v>
      </c>
    </row>
    <row r="213" spans="2:14" ht="20.100000000000001" customHeight="1">
      <c r="B213" s="85" t="s">
        <v>1102</v>
      </c>
      <c r="C213" s="85" t="s">
        <v>1242</v>
      </c>
      <c r="D213" s="86"/>
      <c r="E213" s="86"/>
      <c r="F213" s="86"/>
      <c r="G213" s="86"/>
      <c r="H213" s="87"/>
      <c r="I213" s="86"/>
      <c r="J213" s="86">
        <v>0</v>
      </c>
      <c r="K213" s="86">
        <v>0</v>
      </c>
      <c r="L213" s="86">
        <v>0</v>
      </c>
      <c r="M213" s="86">
        <v>0</v>
      </c>
      <c r="N213" s="87">
        <f t="shared" ref="N213" si="38">M213+L213+K213+J213</f>
        <v>0</v>
      </c>
    </row>
    <row r="214" spans="2:14" ht="20.100000000000001" customHeight="1">
      <c r="B214" s="85" t="s">
        <v>562</v>
      </c>
      <c r="C214" s="85" t="s">
        <v>563</v>
      </c>
      <c r="D214" s="86"/>
      <c r="E214" s="86"/>
      <c r="F214" s="86"/>
      <c r="G214" s="86"/>
      <c r="H214" s="87"/>
      <c r="I214" s="86"/>
      <c r="J214" s="86">
        <v>0</v>
      </c>
      <c r="K214" s="86">
        <v>0</v>
      </c>
      <c r="L214" s="86">
        <v>0</v>
      </c>
      <c r="M214" s="86">
        <v>0</v>
      </c>
      <c r="N214" s="87">
        <f t="shared" si="36"/>
        <v>0</v>
      </c>
    </row>
    <row r="215" spans="2:14" ht="20.100000000000001" customHeight="1">
      <c r="B215" s="85" t="s">
        <v>562</v>
      </c>
      <c r="C215" s="85" t="s">
        <v>998</v>
      </c>
      <c r="D215" s="86"/>
      <c r="E215" s="86"/>
      <c r="F215" s="86"/>
      <c r="G215" s="86"/>
      <c r="H215" s="87"/>
      <c r="I215" s="86"/>
      <c r="J215" s="86">
        <v>0</v>
      </c>
      <c r="K215" s="86">
        <v>0</v>
      </c>
      <c r="L215" s="86">
        <v>0</v>
      </c>
      <c r="M215" s="86">
        <v>0</v>
      </c>
      <c r="N215" s="87">
        <f t="shared" si="36"/>
        <v>0</v>
      </c>
    </row>
    <row r="216" spans="2:14" ht="20.100000000000001" customHeight="1">
      <c r="B216" s="85" t="s">
        <v>772</v>
      </c>
      <c r="C216" s="85" t="s">
        <v>768</v>
      </c>
      <c r="D216" s="86"/>
      <c r="E216" s="86"/>
      <c r="F216" s="86"/>
      <c r="G216" s="86"/>
      <c r="H216" s="87"/>
      <c r="I216" s="86"/>
      <c r="J216" s="86">
        <v>0</v>
      </c>
      <c r="K216" s="86">
        <v>0</v>
      </c>
      <c r="L216" s="86">
        <v>0</v>
      </c>
      <c r="M216" s="86">
        <v>0</v>
      </c>
      <c r="N216" s="87">
        <f t="shared" si="36"/>
        <v>0</v>
      </c>
    </row>
    <row r="217" spans="2:14" ht="20.100000000000001" customHeight="1">
      <c r="B217" s="85" t="s">
        <v>354</v>
      </c>
      <c r="C217" s="85" t="s">
        <v>355</v>
      </c>
      <c r="D217" s="86"/>
      <c r="E217" s="86"/>
      <c r="F217" s="86"/>
      <c r="G217" s="86"/>
      <c r="H217" s="87"/>
      <c r="I217" s="86"/>
      <c r="J217" s="86">
        <v>0</v>
      </c>
      <c r="K217" s="86">
        <v>0</v>
      </c>
      <c r="L217" s="86">
        <v>0</v>
      </c>
      <c r="M217" s="86">
        <v>0</v>
      </c>
      <c r="N217" s="87">
        <f t="shared" si="36"/>
        <v>0</v>
      </c>
    </row>
    <row r="218" spans="2:14" ht="20.100000000000001" customHeight="1">
      <c r="B218" s="85" t="s">
        <v>354</v>
      </c>
      <c r="C218" s="85" t="s">
        <v>923</v>
      </c>
      <c r="D218" s="86"/>
      <c r="E218" s="86"/>
      <c r="F218" s="86"/>
      <c r="G218" s="86"/>
      <c r="H218" s="87"/>
      <c r="I218" s="86"/>
      <c r="J218" s="86">
        <v>0</v>
      </c>
      <c r="K218" s="86">
        <v>0</v>
      </c>
      <c r="L218" s="86">
        <v>0</v>
      </c>
      <c r="M218" s="86">
        <v>0</v>
      </c>
      <c r="N218" s="87">
        <f t="shared" si="36"/>
        <v>0</v>
      </c>
    </row>
    <row r="219" spans="2:14" ht="20.100000000000001" customHeight="1">
      <c r="B219" s="85" t="s">
        <v>900</v>
      </c>
      <c r="C219" s="85" t="s">
        <v>901</v>
      </c>
      <c r="D219" s="86"/>
      <c r="E219" s="86"/>
      <c r="F219" s="86"/>
      <c r="G219" s="86"/>
      <c r="H219" s="87"/>
      <c r="I219" s="86"/>
      <c r="J219" s="86">
        <v>0</v>
      </c>
      <c r="K219" s="86">
        <v>0</v>
      </c>
      <c r="L219" s="86">
        <v>0</v>
      </c>
      <c r="M219" s="86">
        <v>0</v>
      </c>
      <c r="N219" s="87">
        <f t="shared" si="36"/>
        <v>0</v>
      </c>
    </row>
    <row r="220" spans="2:14" ht="20.100000000000001" customHeight="1">
      <c r="B220" s="85" t="s">
        <v>902</v>
      </c>
      <c r="C220" s="85" t="s">
        <v>903</v>
      </c>
      <c r="D220" s="86"/>
      <c r="E220" s="86"/>
      <c r="F220" s="86"/>
      <c r="G220" s="86"/>
      <c r="H220" s="87"/>
      <c r="I220" s="86"/>
      <c r="J220" s="86">
        <v>0</v>
      </c>
      <c r="K220" s="86">
        <v>0</v>
      </c>
      <c r="L220" s="86">
        <v>0</v>
      </c>
      <c r="M220" s="86">
        <v>0</v>
      </c>
      <c r="N220" s="87">
        <f t="shared" si="36"/>
        <v>0</v>
      </c>
    </row>
    <row r="221" spans="2:14" ht="20.100000000000001" customHeight="1">
      <c r="B221" s="85" t="s">
        <v>999</v>
      </c>
      <c r="C221" s="85" t="s">
        <v>1000</v>
      </c>
      <c r="D221" s="86"/>
      <c r="E221" s="86"/>
      <c r="F221" s="86"/>
      <c r="G221" s="86"/>
      <c r="H221" s="87"/>
      <c r="I221" s="86"/>
      <c r="J221" s="86">
        <v>0</v>
      </c>
      <c r="K221" s="86">
        <v>0</v>
      </c>
      <c r="L221" s="86">
        <v>0</v>
      </c>
      <c r="M221" s="86">
        <v>0</v>
      </c>
      <c r="N221" s="87">
        <f t="shared" si="36"/>
        <v>0</v>
      </c>
    </row>
    <row r="222" spans="2:14" ht="20.100000000000001" customHeight="1">
      <c r="B222" s="85" t="s">
        <v>356</v>
      </c>
      <c r="C222" s="85" t="s">
        <v>357</v>
      </c>
      <c r="D222" s="86"/>
      <c r="E222" s="86"/>
      <c r="F222" s="86"/>
      <c r="G222" s="86"/>
      <c r="H222" s="87"/>
      <c r="I222" s="86"/>
      <c r="J222" s="86">
        <v>0</v>
      </c>
      <c r="K222" s="86">
        <v>0</v>
      </c>
      <c r="L222" s="86">
        <v>0</v>
      </c>
      <c r="M222" s="86">
        <v>0</v>
      </c>
      <c r="N222" s="87">
        <f t="shared" si="36"/>
        <v>0</v>
      </c>
    </row>
    <row r="223" spans="2:14" ht="20.100000000000001" customHeight="1">
      <c r="B223" s="85" t="s">
        <v>1186</v>
      </c>
      <c r="C223" s="85" t="s">
        <v>1187</v>
      </c>
      <c r="D223" s="86"/>
      <c r="E223" s="86"/>
      <c r="F223" s="86"/>
      <c r="G223" s="86"/>
      <c r="H223" s="87"/>
      <c r="I223" s="86"/>
      <c r="J223" s="86">
        <v>0</v>
      </c>
      <c r="K223" s="86">
        <v>0</v>
      </c>
      <c r="L223" s="86">
        <v>0</v>
      </c>
      <c r="M223" s="86">
        <v>0</v>
      </c>
      <c r="N223" s="87">
        <f t="shared" ref="N223" si="39">M223+L223+K223+J223</f>
        <v>0</v>
      </c>
    </row>
    <row r="224" spans="2:14" ht="20.100000000000001" customHeight="1">
      <c r="B224" s="85" t="s">
        <v>1296</v>
      </c>
      <c r="C224" s="85" t="s">
        <v>1297</v>
      </c>
      <c r="D224" s="86"/>
      <c r="E224" s="86"/>
      <c r="F224" s="86"/>
      <c r="G224" s="86"/>
      <c r="H224" s="87"/>
      <c r="I224" s="86"/>
      <c r="J224" s="86">
        <v>0</v>
      </c>
      <c r="K224" s="86">
        <v>0</v>
      </c>
      <c r="L224" s="86">
        <v>0</v>
      </c>
      <c r="M224" s="86">
        <v>0</v>
      </c>
      <c r="N224" s="87">
        <f t="shared" ref="N224" si="40">M224+L224+K224+J224</f>
        <v>0</v>
      </c>
    </row>
    <row r="225" spans="2:14" ht="20.100000000000001" customHeight="1">
      <c r="B225" s="85" t="s">
        <v>216</v>
      </c>
      <c r="C225" s="85" t="s">
        <v>217</v>
      </c>
      <c r="D225" s="86"/>
      <c r="E225" s="86"/>
      <c r="F225" s="86"/>
      <c r="G225" s="86"/>
      <c r="H225" s="87"/>
      <c r="I225" s="86"/>
      <c r="J225" s="86">
        <v>0</v>
      </c>
      <c r="K225" s="86">
        <v>0</v>
      </c>
      <c r="L225" s="86">
        <v>0</v>
      </c>
      <c r="M225" s="86">
        <v>0</v>
      </c>
      <c r="N225" s="87">
        <f t="shared" si="36"/>
        <v>0</v>
      </c>
    </row>
    <row r="226" spans="2:14" ht="20.100000000000001" customHeight="1">
      <c r="B226" s="85" t="s">
        <v>836</v>
      </c>
      <c r="C226" s="85" t="s">
        <v>837</v>
      </c>
      <c r="D226" s="86"/>
      <c r="E226" s="86"/>
      <c r="F226" s="86"/>
      <c r="G226" s="86"/>
      <c r="H226" s="87"/>
      <c r="I226" s="86"/>
      <c r="J226" s="86">
        <v>0</v>
      </c>
      <c r="K226" s="86">
        <v>0</v>
      </c>
      <c r="L226" s="86">
        <v>0</v>
      </c>
      <c r="M226" s="86">
        <v>0</v>
      </c>
      <c r="N226" s="87">
        <f t="shared" si="36"/>
        <v>0</v>
      </c>
    </row>
    <row r="227" spans="2:14" ht="20.100000000000001" customHeight="1">
      <c r="B227" s="85" t="s">
        <v>817</v>
      </c>
      <c r="C227" s="94" t="s">
        <v>818</v>
      </c>
      <c r="D227" s="86"/>
      <c r="E227" s="86"/>
      <c r="F227" s="86"/>
      <c r="G227" s="86"/>
      <c r="H227" s="87"/>
      <c r="I227" s="86"/>
      <c r="J227" s="86">
        <v>0</v>
      </c>
      <c r="K227" s="86">
        <v>0</v>
      </c>
      <c r="L227" s="86">
        <v>0</v>
      </c>
      <c r="M227" s="86">
        <v>0</v>
      </c>
      <c r="N227" s="87">
        <f t="shared" si="36"/>
        <v>0</v>
      </c>
    </row>
    <row r="228" spans="2:14" ht="20.100000000000001" customHeight="1">
      <c r="B228" s="85" t="s">
        <v>964</v>
      </c>
      <c r="C228" s="94" t="s">
        <v>965</v>
      </c>
      <c r="D228" s="86"/>
      <c r="E228" s="86"/>
      <c r="F228" s="86"/>
      <c r="G228" s="86"/>
      <c r="H228" s="87"/>
      <c r="I228" s="86"/>
      <c r="J228" s="86">
        <v>0</v>
      </c>
      <c r="K228" s="86">
        <v>0</v>
      </c>
      <c r="L228" s="86">
        <v>0</v>
      </c>
      <c r="M228" s="86">
        <v>0</v>
      </c>
      <c r="N228" s="87">
        <f t="shared" si="36"/>
        <v>0</v>
      </c>
    </row>
    <row r="229" spans="2:14" ht="33.75" customHeight="1">
      <c r="B229" s="294" t="s">
        <v>17</v>
      </c>
      <c r="C229" s="295"/>
      <c r="D229" s="36">
        <f>SUM(D149:D228)</f>
        <v>0</v>
      </c>
      <c r="E229" s="36">
        <f>SUM(E149:E228)</f>
        <v>0</v>
      </c>
      <c r="F229" s="36">
        <f>SUM(F149:F228)</f>
        <v>0</v>
      </c>
      <c r="G229" s="36"/>
      <c r="H229" s="36">
        <f t="shared" ref="H229:N229" si="41">SUM(H149:H228)</f>
        <v>0</v>
      </c>
      <c r="I229" s="36">
        <f t="shared" si="41"/>
        <v>0</v>
      </c>
      <c r="J229" s="36">
        <f t="shared" si="41"/>
        <v>0</v>
      </c>
      <c r="K229" s="36">
        <f t="shared" si="41"/>
        <v>0</v>
      </c>
      <c r="L229" s="36">
        <f t="shared" si="41"/>
        <v>0</v>
      </c>
      <c r="M229" s="36">
        <f t="shared" si="41"/>
        <v>0</v>
      </c>
      <c r="N229" s="36">
        <f t="shared" si="41"/>
        <v>0</v>
      </c>
    </row>
    <row r="230" spans="2:14" ht="24.75" customHeight="1">
      <c r="B230" s="15"/>
      <c r="C230" s="15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2:14" ht="21" customHeight="1">
      <c r="B231" s="15"/>
      <c r="C231" s="15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2:14" ht="27" customHeight="1">
      <c r="B232" s="286" t="s">
        <v>0</v>
      </c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</row>
    <row r="233" spans="2:14" ht="28.5" customHeight="1" thickBot="1">
      <c r="B233" s="287" t="s">
        <v>1310</v>
      </c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</row>
    <row r="234" spans="2:14" ht="31.5" customHeight="1" thickBot="1">
      <c r="B234" s="289" t="s">
        <v>1</v>
      </c>
      <c r="C234" s="25" t="s">
        <v>192</v>
      </c>
      <c r="D234" s="4" t="s">
        <v>2</v>
      </c>
      <c r="E234" s="3" t="s">
        <v>3</v>
      </c>
      <c r="F234" s="3" t="s">
        <v>4</v>
      </c>
      <c r="G234" s="3"/>
      <c r="H234" s="3" t="s">
        <v>5</v>
      </c>
      <c r="I234" s="5" t="s">
        <v>6</v>
      </c>
      <c r="J234" s="278" t="s">
        <v>5</v>
      </c>
      <c r="K234" s="279"/>
      <c r="L234" s="279"/>
      <c r="M234" s="279"/>
      <c r="N234" s="280"/>
    </row>
    <row r="235" spans="2:14" ht="18.75" customHeight="1">
      <c r="B235" s="290"/>
      <c r="C235" s="24" t="s">
        <v>193</v>
      </c>
      <c r="D235" s="6" t="s">
        <v>7</v>
      </c>
      <c r="E235" s="6" t="s">
        <v>7</v>
      </c>
      <c r="F235" s="6" t="s">
        <v>7</v>
      </c>
      <c r="G235" s="7"/>
      <c r="H235" s="7" t="s">
        <v>7</v>
      </c>
      <c r="I235" s="8" t="s">
        <v>7</v>
      </c>
      <c r="J235" s="44" t="s">
        <v>8</v>
      </c>
      <c r="K235" s="45" t="s">
        <v>9</v>
      </c>
      <c r="L235" s="45" t="s">
        <v>10</v>
      </c>
      <c r="M235" s="46" t="s">
        <v>11</v>
      </c>
      <c r="N235" s="297" t="s">
        <v>12</v>
      </c>
    </row>
    <row r="236" spans="2:14" ht="18" customHeight="1" thickBot="1">
      <c r="B236" s="291"/>
      <c r="C236" s="9"/>
      <c r="D236" s="10" t="s">
        <v>13</v>
      </c>
      <c r="E236" s="10" t="s">
        <v>13</v>
      </c>
      <c r="F236" s="10" t="s">
        <v>13</v>
      </c>
      <c r="G236" s="11"/>
      <c r="H236" s="11" t="s">
        <v>13</v>
      </c>
      <c r="I236" s="11" t="s">
        <v>13</v>
      </c>
      <c r="J236" s="77" t="s">
        <v>13</v>
      </c>
      <c r="K236" s="78" t="s">
        <v>13</v>
      </c>
      <c r="L236" s="78" t="s">
        <v>13</v>
      </c>
      <c r="M236" s="79" t="s">
        <v>13</v>
      </c>
      <c r="N236" s="298"/>
    </row>
    <row r="237" spans="2:14" ht="20.100000000000001" customHeight="1">
      <c r="B237" s="33" t="s">
        <v>18</v>
      </c>
      <c r="C237" s="34"/>
      <c r="D237" s="34"/>
      <c r="E237" s="34"/>
      <c r="F237" s="34"/>
      <c r="G237" s="34"/>
      <c r="H237" s="34"/>
      <c r="I237" s="38"/>
      <c r="J237" s="34"/>
      <c r="K237" s="34"/>
      <c r="L237" s="34"/>
      <c r="M237" s="34"/>
      <c r="N237" s="39"/>
    </row>
    <row r="238" spans="2:14" ht="20.100000000000001" customHeight="1">
      <c r="B238" s="91" t="s">
        <v>367</v>
      </c>
      <c r="C238" s="95" t="s">
        <v>366</v>
      </c>
      <c r="D238" s="92"/>
      <c r="E238" s="92"/>
      <c r="F238" s="92"/>
      <c r="G238" s="92"/>
      <c r="H238" s="93"/>
      <c r="I238" s="92"/>
      <c r="J238" s="92">
        <v>0</v>
      </c>
      <c r="K238" s="92">
        <v>0</v>
      </c>
      <c r="L238" s="92">
        <v>0</v>
      </c>
      <c r="M238" s="92">
        <v>0</v>
      </c>
      <c r="N238" s="93">
        <f t="shared" ref="N238:N273" si="42">M238+L238+K238+J238</f>
        <v>0</v>
      </c>
    </row>
    <row r="239" spans="2:14" ht="20.100000000000001" customHeight="1">
      <c r="B239" s="91" t="s">
        <v>367</v>
      </c>
      <c r="C239" s="95" t="s">
        <v>1112</v>
      </c>
      <c r="D239" s="92"/>
      <c r="E239" s="92"/>
      <c r="F239" s="92"/>
      <c r="G239" s="92"/>
      <c r="H239" s="93"/>
      <c r="I239" s="92"/>
      <c r="J239" s="92">
        <v>0</v>
      </c>
      <c r="K239" s="92">
        <v>0</v>
      </c>
      <c r="L239" s="92">
        <v>0</v>
      </c>
      <c r="M239" s="92">
        <v>0</v>
      </c>
      <c r="N239" s="93">
        <f t="shared" si="42"/>
        <v>0</v>
      </c>
    </row>
    <row r="240" spans="2:14" ht="20.100000000000001" customHeight="1">
      <c r="B240" s="85" t="s">
        <v>230</v>
      </c>
      <c r="C240" s="94" t="s">
        <v>231</v>
      </c>
      <c r="D240" s="86"/>
      <c r="E240" s="86"/>
      <c r="F240" s="86"/>
      <c r="G240" s="86"/>
      <c r="H240" s="87"/>
      <c r="I240" s="86"/>
      <c r="J240" s="86">
        <v>0</v>
      </c>
      <c r="K240" s="86">
        <v>0</v>
      </c>
      <c r="L240" s="86">
        <v>0</v>
      </c>
      <c r="M240" s="86">
        <v>0</v>
      </c>
      <c r="N240" s="87">
        <f t="shared" si="42"/>
        <v>0</v>
      </c>
    </row>
    <row r="241" spans="2:14" ht="20.100000000000001" customHeight="1">
      <c r="B241" s="85" t="s">
        <v>232</v>
      </c>
      <c r="C241" s="94" t="s">
        <v>233</v>
      </c>
      <c r="D241" s="86"/>
      <c r="E241" s="86"/>
      <c r="F241" s="86"/>
      <c r="G241" s="86"/>
      <c r="H241" s="87"/>
      <c r="I241" s="86"/>
      <c r="J241" s="86">
        <v>0</v>
      </c>
      <c r="K241" s="86">
        <v>0</v>
      </c>
      <c r="L241" s="86">
        <v>0</v>
      </c>
      <c r="M241" s="86">
        <v>0</v>
      </c>
      <c r="N241" s="87">
        <f t="shared" si="42"/>
        <v>0</v>
      </c>
    </row>
    <row r="242" spans="2:14" ht="20.100000000000001" customHeight="1">
      <c r="B242" s="85" t="s">
        <v>591</v>
      </c>
      <c r="C242" s="94" t="s">
        <v>592</v>
      </c>
      <c r="D242" s="86"/>
      <c r="E242" s="86"/>
      <c r="F242" s="86"/>
      <c r="G242" s="86"/>
      <c r="H242" s="87"/>
      <c r="I242" s="86"/>
      <c r="J242" s="86">
        <v>0</v>
      </c>
      <c r="K242" s="86">
        <v>0</v>
      </c>
      <c r="L242" s="86">
        <v>0</v>
      </c>
      <c r="M242" s="86">
        <v>0</v>
      </c>
      <c r="N242" s="87">
        <f t="shared" si="42"/>
        <v>0</v>
      </c>
    </row>
    <row r="243" spans="2:14" ht="20.100000000000001" customHeight="1">
      <c r="B243" s="85" t="s">
        <v>364</v>
      </c>
      <c r="C243" s="94" t="s">
        <v>365</v>
      </c>
      <c r="D243" s="86"/>
      <c r="E243" s="86"/>
      <c r="F243" s="86"/>
      <c r="G243" s="86"/>
      <c r="H243" s="87"/>
      <c r="I243" s="86"/>
      <c r="J243" s="86">
        <v>0</v>
      </c>
      <c r="K243" s="86">
        <v>0</v>
      </c>
      <c r="L243" s="86">
        <v>0</v>
      </c>
      <c r="M243" s="86">
        <v>0</v>
      </c>
      <c r="N243" s="87">
        <f t="shared" si="42"/>
        <v>0</v>
      </c>
    </row>
    <row r="244" spans="2:14" ht="20.100000000000001" customHeight="1">
      <c r="B244" s="85" t="s">
        <v>226</v>
      </c>
      <c r="C244" s="94" t="s">
        <v>227</v>
      </c>
      <c r="D244" s="86"/>
      <c r="E244" s="86"/>
      <c r="F244" s="86"/>
      <c r="G244" s="86"/>
      <c r="H244" s="87"/>
      <c r="I244" s="86"/>
      <c r="J244" s="86">
        <v>0</v>
      </c>
      <c r="K244" s="86">
        <v>0</v>
      </c>
      <c r="L244" s="86">
        <v>0</v>
      </c>
      <c r="M244" s="86">
        <v>0</v>
      </c>
      <c r="N244" s="87">
        <f t="shared" si="42"/>
        <v>0</v>
      </c>
    </row>
    <row r="245" spans="2:14" ht="20.100000000000001" customHeight="1">
      <c r="B245" s="96" t="s">
        <v>228</v>
      </c>
      <c r="C245" s="97" t="s">
        <v>229</v>
      </c>
      <c r="D245" s="98"/>
      <c r="E245" s="98"/>
      <c r="F245" s="98"/>
      <c r="G245" s="98"/>
      <c r="H245" s="99"/>
      <c r="I245" s="98"/>
      <c r="J245" s="98">
        <v>0</v>
      </c>
      <c r="K245" s="98">
        <v>0</v>
      </c>
      <c r="L245" s="98">
        <v>0</v>
      </c>
      <c r="M245" s="98">
        <v>0</v>
      </c>
      <c r="N245" s="99">
        <f t="shared" si="42"/>
        <v>0</v>
      </c>
    </row>
    <row r="246" spans="2:14" ht="20.100000000000001" customHeight="1">
      <c r="B246" s="85" t="s">
        <v>368</v>
      </c>
      <c r="C246" s="94" t="s">
        <v>369</v>
      </c>
      <c r="D246" s="86"/>
      <c r="E246" s="86"/>
      <c r="F246" s="86"/>
      <c r="G246" s="86"/>
      <c r="H246" s="87"/>
      <c r="I246" s="86"/>
      <c r="J246" s="86">
        <v>0</v>
      </c>
      <c r="K246" s="86">
        <v>0</v>
      </c>
      <c r="L246" s="86">
        <v>0</v>
      </c>
      <c r="M246" s="86">
        <v>0</v>
      </c>
      <c r="N246" s="87">
        <f t="shared" si="42"/>
        <v>0</v>
      </c>
    </row>
    <row r="247" spans="2:14" ht="20.100000000000001" customHeight="1">
      <c r="B247" s="85" t="s">
        <v>370</v>
      </c>
      <c r="C247" s="94" t="s">
        <v>371</v>
      </c>
      <c r="D247" s="86"/>
      <c r="E247" s="86"/>
      <c r="F247" s="86"/>
      <c r="G247" s="86"/>
      <c r="H247" s="87"/>
      <c r="I247" s="86"/>
      <c r="J247" s="86">
        <v>0</v>
      </c>
      <c r="K247" s="86">
        <v>0</v>
      </c>
      <c r="L247" s="86">
        <v>0</v>
      </c>
      <c r="M247" s="86">
        <v>0</v>
      </c>
      <c r="N247" s="87">
        <f t="shared" si="42"/>
        <v>0</v>
      </c>
    </row>
    <row r="248" spans="2:14" ht="20.100000000000001" customHeight="1">
      <c r="B248" s="85" t="s">
        <v>372</v>
      </c>
      <c r="C248" s="94" t="s">
        <v>373</v>
      </c>
      <c r="D248" s="86"/>
      <c r="E248" s="86"/>
      <c r="F248" s="86"/>
      <c r="G248" s="86"/>
      <c r="H248" s="87"/>
      <c r="I248" s="86"/>
      <c r="J248" s="86">
        <v>0</v>
      </c>
      <c r="K248" s="86">
        <v>0</v>
      </c>
      <c r="L248" s="86">
        <v>0</v>
      </c>
      <c r="M248" s="86">
        <v>0</v>
      </c>
      <c r="N248" s="87">
        <f t="shared" si="42"/>
        <v>0</v>
      </c>
    </row>
    <row r="249" spans="2:14" ht="20.100000000000001" customHeight="1">
      <c r="B249" s="85" t="s">
        <v>372</v>
      </c>
      <c r="C249" s="94" t="s">
        <v>374</v>
      </c>
      <c r="D249" s="86"/>
      <c r="E249" s="86"/>
      <c r="F249" s="86"/>
      <c r="G249" s="86"/>
      <c r="H249" s="87"/>
      <c r="I249" s="86"/>
      <c r="J249" s="86">
        <v>0</v>
      </c>
      <c r="K249" s="86">
        <v>0</v>
      </c>
      <c r="L249" s="86">
        <v>0</v>
      </c>
      <c r="M249" s="86">
        <v>0</v>
      </c>
      <c r="N249" s="87">
        <f t="shared" si="42"/>
        <v>0</v>
      </c>
    </row>
    <row r="250" spans="2:14" ht="20.100000000000001" customHeight="1">
      <c r="B250" s="85" t="s">
        <v>375</v>
      </c>
      <c r="C250" s="94" t="s">
        <v>376</v>
      </c>
      <c r="D250" s="86"/>
      <c r="E250" s="86"/>
      <c r="F250" s="86"/>
      <c r="G250" s="86"/>
      <c r="H250" s="87"/>
      <c r="I250" s="86"/>
      <c r="J250" s="86">
        <v>0</v>
      </c>
      <c r="K250" s="86">
        <v>0</v>
      </c>
      <c r="L250" s="86">
        <v>0</v>
      </c>
      <c r="M250" s="86">
        <v>0</v>
      </c>
      <c r="N250" s="87">
        <f t="shared" si="42"/>
        <v>0</v>
      </c>
    </row>
    <row r="251" spans="2:14" ht="20.100000000000001" customHeight="1">
      <c r="B251" s="85" t="s">
        <v>817</v>
      </c>
      <c r="C251" s="94" t="s">
        <v>1260</v>
      </c>
      <c r="D251" s="86"/>
      <c r="E251" s="86"/>
      <c r="F251" s="86"/>
      <c r="G251" s="86"/>
      <c r="H251" s="87"/>
      <c r="I251" s="86"/>
      <c r="J251" s="86">
        <v>0</v>
      </c>
      <c r="K251" s="86">
        <v>0</v>
      </c>
      <c r="L251" s="86">
        <v>0</v>
      </c>
      <c r="M251" s="86">
        <v>0</v>
      </c>
      <c r="N251" s="87">
        <f t="shared" ref="N251" si="43">M251+L251+K251+J251</f>
        <v>0</v>
      </c>
    </row>
    <row r="252" spans="2:14" ht="20.100000000000001" customHeight="1">
      <c r="B252" s="85" t="s">
        <v>817</v>
      </c>
      <c r="C252" s="94" t="s">
        <v>927</v>
      </c>
      <c r="D252" s="86"/>
      <c r="E252" s="86"/>
      <c r="F252" s="86"/>
      <c r="G252" s="86"/>
      <c r="H252" s="87"/>
      <c r="I252" s="86"/>
      <c r="J252" s="86">
        <v>0</v>
      </c>
      <c r="K252" s="86">
        <v>0</v>
      </c>
      <c r="L252" s="86">
        <v>0</v>
      </c>
      <c r="M252" s="86">
        <v>0</v>
      </c>
      <c r="N252" s="87">
        <f t="shared" si="42"/>
        <v>0</v>
      </c>
    </row>
    <row r="253" spans="2:14" ht="20.100000000000001" customHeight="1">
      <c r="B253" s="85" t="s">
        <v>928</v>
      </c>
      <c r="C253" s="94" t="s">
        <v>929</v>
      </c>
      <c r="D253" s="86"/>
      <c r="E253" s="86"/>
      <c r="F253" s="86"/>
      <c r="G253" s="86"/>
      <c r="H253" s="87"/>
      <c r="I253" s="86"/>
      <c r="J253" s="86">
        <v>0</v>
      </c>
      <c r="K253" s="86">
        <v>0</v>
      </c>
      <c r="L253" s="86">
        <v>0</v>
      </c>
      <c r="M253" s="86">
        <v>0</v>
      </c>
      <c r="N253" s="87">
        <f t="shared" si="42"/>
        <v>0</v>
      </c>
    </row>
    <row r="254" spans="2:14" ht="20.100000000000001" customHeight="1">
      <c r="B254" s="85" t="s">
        <v>928</v>
      </c>
      <c r="C254" s="94" t="s">
        <v>930</v>
      </c>
      <c r="D254" s="86"/>
      <c r="E254" s="86"/>
      <c r="F254" s="86"/>
      <c r="G254" s="86"/>
      <c r="H254" s="87"/>
      <c r="I254" s="86"/>
      <c r="J254" s="86">
        <v>0</v>
      </c>
      <c r="K254" s="86">
        <v>0</v>
      </c>
      <c r="L254" s="86">
        <v>0</v>
      </c>
      <c r="M254" s="86">
        <v>0</v>
      </c>
      <c r="N254" s="87">
        <f t="shared" si="42"/>
        <v>0</v>
      </c>
    </row>
    <row r="255" spans="2:14" ht="20.100000000000001" customHeight="1">
      <c r="B255" s="85" t="s">
        <v>928</v>
      </c>
      <c r="C255" s="94" t="s">
        <v>1202</v>
      </c>
      <c r="D255" s="86"/>
      <c r="E255" s="86"/>
      <c r="F255" s="86"/>
      <c r="G255" s="86"/>
      <c r="H255" s="87"/>
      <c r="I255" s="86"/>
      <c r="J255" s="86">
        <v>0</v>
      </c>
      <c r="K255" s="86">
        <v>0</v>
      </c>
      <c r="L255" s="86">
        <v>0</v>
      </c>
      <c r="M255" s="86">
        <v>0</v>
      </c>
      <c r="N255" s="87">
        <f t="shared" ref="N255:N256" si="44">M255+L255+K255+J255</f>
        <v>0</v>
      </c>
    </row>
    <row r="256" spans="2:14" ht="20.100000000000001" customHeight="1">
      <c r="B256" s="85" t="s">
        <v>964</v>
      </c>
      <c r="C256" s="94" t="s">
        <v>965</v>
      </c>
      <c r="D256" s="86"/>
      <c r="E256" s="86"/>
      <c r="F256" s="86"/>
      <c r="G256" s="86"/>
      <c r="H256" s="87"/>
      <c r="I256" s="86"/>
      <c r="J256" s="86">
        <v>0</v>
      </c>
      <c r="K256" s="86">
        <v>0</v>
      </c>
      <c r="L256" s="86">
        <v>0</v>
      </c>
      <c r="M256" s="86">
        <v>0</v>
      </c>
      <c r="N256" s="87">
        <f t="shared" si="44"/>
        <v>0</v>
      </c>
    </row>
    <row r="257" spans="2:14" ht="20.100000000000001" customHeight="1">
      <c r="B257" s="85" t="s">
        <v>964</v>
      </c>
      <c r="C257" s="94" t="s">
        <v>966</v>
      </c>
      <c r="D257" s="86"/>
      <c r="E257" s="86"/>
      <c r="F257" s="86"/>
      <c r="G257" s="86"/>
      <c r="H257" s="87"/>
      <c r="I257" s="86"/>
      <c r="J257" s="86">
        <v>0</v>
      </c>
      <c r="K257" s="86">
        <v>0</v>
      </c>
      <c r="L257" s="86">
        <v>0</v>
      </c>
      <c r="M257" s="86">
        <v>0</v>
      </c>
      <c r="N257" s="87">
        <f t="shared" si="42"/>
        <v>0</v>
      </c>
    </row>
    <row r="258" spans="2:14" ht="20.100000000000001" customHeight="1">
      <c r="B258" s="85" t="s">
        <v>964</v>
      </c>
      <c r="C258" s="94" t="s">
        <v>1203</v>
      </c>
      <c r="D258" s="86"/>
      <c r="E258" s="86"/>
      <c r="F258" s="86"/>
      <c r="G258" s="86"/>
      <c r="H258" s="87"/>
      <c r="I258" s="86"/>
      <c r="J258" s="86">
        <v>0</v>
      </c>
      <c r="K258" s="86">
        <v>0</v>
      </c>
      <c r="L258" s="86">
        <v>0</v>
      </c>
      <c r="M258" s="86">
        <v>0</v>
      </c>
      <c r="N258" s="87">
        <f t="shared" ref="N258" si="45">M258+L258+K258+J258</f>
        <v>0</v>
      </c>
    </row>
    <row r="259" spans="2:14" ht="20.100000000000001" customHeight="1">
      <c r="B259" s="85" t="s">
        <v>1006</v>
      </c>
      <c r="C259" s="94" t="s">
        <v>1007</v>
      </c>
      <c r="D259" s="86"/>
      <c r="E259" s="86"/>
      <c r="F259" s="86"/>
      <c r="G259" s="86"/>
      <c r="H259" s="87"/>
      <c r="I259" s="86"/>
      <c r="J259" s="86">
        <v>0</v>
      </c>
      <c r="K259" s="86">
        <v>0</v>
      </c>
      <c r="L259" s="86">
        <v>0</v>
      </c>
      <c r="M259" s="86">
        <v>0</v>
      </c>
      <c r="N259" s="87">
        <f t="shared" si="42"/>
        <v>0</v>
      </c>
    </row>
    <row r="260" spans="2:14" ht="20.100000000000001" customHeight="1">
      <c r="B260" s="85" t="s">
        <v>755</v>
      </c>
      <c r="C260" s="94" t="s">
        <v>756</v>
      </c>
      <c r="D260" s="86"/>
      <c r="E260" s="86"/>
      <c r="F260" s="86"/>
      <c r="G260" s="86"/>
      <c r="H260" s="87"/>
      <c r="I260" s="86"/>
      <c r="J260" s="86">
        <v>0</v>
      </c>
      <c r="K260" s="86">
        <v>0</v>
      </c>
      <c r="L260" s="86">
        <v>0</v>
      </c>
      <c r="M260" s="86">
        <v>0</v>
      </c>
      <c r="N260" s="87">
        <f t="shared" si="42"/>
        <v>0</v>
      </c>
    </row>
    <row r="261" spans="2:14" ht="20.100000000000001" customHeight="1">
      <c r="B261" s="85" t="s">
        <v>275</v>
      </c>
      <c r="C261" s="94" t="s">
        <v>1081</v>
      </c>
      <c r="D261" s="86"/>
      <c r="E261" s="86"/>
      <c r="F261" s="86"/>
      <c r="G261" s="86"/>
      <c r="H261" s="87"/>
      <c r="I261" s="86"/>
      <c r="J261" s="86">
        <v>0</v>
      </c>
      <c r="K261" s="86">
        <v>0</v>
      </c>
      <c r="L261" s="86">
        <v>0</v>
      </c>
      <c r="M261" s="86">
        <v>0</v>
      </c>
      <c r="N261" s="87">
        <f t="shared" si="42"/>
        <v>0</v>
      </c>
    </row>
    <row r="262" spans="2:14" ht="20.100000000000001" customHeight="1">
      <c r="B262" s="85" t="s">
        <v>785</v>
      </c>
      <c r="C262" s="94" t="s">
        <v>276</v>
      </c>
      <c r="D262" s="86"/>
      <c r="E262" s="107"/>
      <c r="F262" s="107"/>
      <c r="G262" s="107"/>
      <c r="H262" s="108"/>
      <c r="I262" s="86"/>
      <c r="J262" s="107">
        <v>0</v>
      </c>
      <c r="K262" s="108">
        <v>0</v>
      </c>
      <c r="L262" s="108">
        <v>0</v>
      </c>
      <c r="M262" s="108">
        <v>0</v>
      </c>
      <c r="N262" s="87">
        <f t="shared" si="42"/>
        <v>0</v>
      </c>
    </row>
    <row r="263" spans="2:14" ht="20.100000000000001" customHeight="1">
      <c r="B263" s="85" t="s">
        <v>248</v>
      </c>
      <c r="C263" s="94" t="s">
        <v>249</v>
      </c>
      <c r="D263" s="86"/>
      <c r="E263" s="86"/>
      <c r="F263" s="86"/>
      <c r="G263" s="86"/>
      <c r="H263" s="87"/>
      <c r="I263" s="86"/>
      <c r="J263" s="86">
        <v>0</v>
      </c>
      <c r="K263" s="86">
        <v>0</v>
      </c>
      <c r="L263" s="86">
        <v>0</v>
      </c>
      <c r="M263" s="86">
        <v>0</v>
      </c>
      <c r="N263" s="87">
        <f t="shared" si="42"/>
        <v>0</v>
      </c>
    </row>
    <row r="264" spans="2:14" ht="20.100000000000001" customHeight="1">
      <c r="B264" s="85" t="s">
        <v>250</v>
      </c>
      <c r="C264" s="94" t="s">
        <v>251</v>
      </c>
      <c r="D264" s="86"/>
      <c r="E264" s="86"/>
      <c r="F264" s="86"/>
      <c r="G264" s="86"/>
      <c r="H264" s="87"/>
      <c r="I264" s="86"/>
      <c r="J264" s="86">
        <v>0</v>
      </c>
      <c r="K264" s="86">
        <v>0</v>
      </c>
      <c r="L264" s="86">
        <v>0</v>
      </c>
      <c r="M264" s="86">
        <v>0</v>
      </c>
      <c r="N264" s="87">
        <f t="shared" si="42"/>
        <v>0</v>
      </c>
    </row>
    <row r="265" spans="2:14" ht="20.100000000000001" customHeight="1">
      <c r="B265" s="85" t="s">
        <v>252</v>
      </c>
      <c r="C265" s="94" t="s">
        <v>253</v>
      </c>
      <c r="D265" s="86"/>
      <c r="E265" s="86"/>
      <c r="F265" s="86"/>
      <c r="G265" s="86"/>
      <c r="H265" s="87"/>
      <c r="I265" s="86"/>
      <c r="J265" s="86">
        <v>0</v>
      </c>
      <c r="K265" s="86">
        <v>0</v>
      </c>
      <c r="L265" s="86">
        <v>0</v>
      </c>
      <c r="M265" s="86">
        <v>0</v>
      </c>
      <c r="N265" s="87">
        <f t="shared" si="42"/>
        <v>0</v>
      </c>
    </row>
    <row r="266" spans="2:14" ht="20.100000000000001" customHeight="1">
      <c r="B266" s="85" t="s">
        <v>597</v>
      </c>
      <c r="C266" s="94" t="s">
        <v>598</v>
      </c>
      <c r="D266" s="86"/>
      <c r="E266" s="86"/>
      <c r="F266" s="86"/>
      <c r="G266" s="86"/>
      <c r="H266" s="87"/>
      <c r="I266" s="86"/>
      <c r="J266" s="86">
        <v>0</v>
      </c>
      <c r="K266" s="86">
        <v>0</v>
      </c>
      <c r="L266" s="86">
        <v>0</v>
      </c>
      <c r="M266" s="86">
        <v>0</v>
      </c>
      <c r="N266" s="87">
        <f t="shared" si="42"/>
        <v>0</v>
      </c>
    </row>
    <row r="267" spans="2:14" ht="20.100000000000001" customHeight="1">
      <c r="B267" s="85" t="s">
        <v>595</v>
      </c>
      <c r="C267" s="94" t="s">
        <v>596</v>
      </c>
      <c r="D267" s="86"/>
      <c r="E267" s="86"/>
      <c r="F267" s="86"/>
      <c r="G267" s="86"/>
      <c r="H267" s="87"/>
      <c r="I267" s="86"/>
      <c r="J267" s="86">
        <v>0</v>
      </c>
      <c r="K267" s="86">
        <v>0</v>
      </c>
      <c r="L267" s="86">
        <v>0</v>
      </c>
      <c r="M267" s="86">
        <v>0</v>
      </c>
      <c r="N267" s="87">
        <f t="shared" si="42"/>
        <v>0</v>
      </c>
    </row>
    <row r="268" spans="2:14" ht="20.100000000000001" customHeight="1">
      <c r="B268" s="85" t="s">
        <v>379</v>
      </c>
      <c r="C268" s="94" t="s">
        <v>380</v>
      </c>
      <c r="D268" s="86"/>
      <c r="E268" s="86"/>
      <c r="F268" s="86"/>
      <c r="G268" s="86"/>
      <c r="H268" s="87"/>
      <c r="I268" s="86"/>
      <c r="J268" s="86">
        <v>0</v>
      </c>
      <c r="K268" s="86">
        <v>0</v>
      </c>
      <c r="L268" s="86">
        <v>0</v>
      </c>
      <c r="M268" s="86">
        <v>0</v>
      </c>
      <c r="N268" s="87">
        <f t="shared" si="42"/>
        <v>0</v>
      </c>
    </row>
    <row r="269" spans="2:14" ht="20.100000000000001" customHeight="1">
      <c r="B269" s="85" t="s">
        <v>381</v>
      </c>
      <c r="C269" s="94" t="s">
        <v>382</v>
      </c>
      <c r="D269" s="86"/>
      <c r="E269" s="86"/>
      <c r="F269" s="86"/>
      <c r="G269" s="86"/>
      <c r="H269" s="87"/>
      <c r="I269" s="86"/>
      <c r="J269" s="86">
        <v>0</v>
      </c>
      <c r="K269" s="86">
        <v>0</v>
      </c>
      <c r="L269" s="86">
        <v>0</v>
      </c>
      <c r="M269" s="86">
        <v>0</v>
      </c>
      <c r="N269" s="87">
        <f t="shared" si="42"/>
        <v>0</v>
      </c>
    </row>
    <row r="270" spans="2:14" ht="20.100000000000001" customHeight="1">
      <c r="B270" s="85" t="s">
        <v>383</v>
      </c>
      <c r="C270" s="94" t="s">
        <v>384</v>
      </c>
      <c r="D270" s="86"/>
      <c r="E270" s="86"/>
      <c r="F270" s="86"/>
      <c r="G270" s="86"/>
      <c r="H270" s="87"/>
      <c r="I270" s="86"/>
      <c r="J270" s="86">
        <v>0</v>
      </c>
      <c r="K270" s="86">
        <v>0</v>
      </c>
      <c r="L270" s="86">
        <v>0</v>
      </c>
      <c r="M270" s="86">
        <v>0</v>
      </c>
      <c r="N270" s="87">
        <f t="shared" si="42"/>
        <v>0</v>
      </c>
    </row>
    <row r="271" spans="2:14" ht="20.100000000000001" customHeight="1">
      <c r="B271" s="85" t="s">
        <v>385</v>
      </c>
      <c r="C271" s="94" t="s">
        <v>386</v>
      </c>
      <c r="D271" s="86"/>
      <c r="E271" s="86"/>
      <c r="F271" s="86"/>
      <c r="G271" s="86"/>
      <c r="H271" s="87"/>
      <c r="I271" s="86"/>
      <c r="J271" s="86">
        <v>0</v>
      </c>
      <c r="K271" s="86">
        <v>0</v>
      </c>
      <c r="L271" s="86">
        <v>0</v>
      </c>
      <c r="M271" s="86">
        <v>0</v>
      </c>
      <c r="N271" s="87">
        <f t="shared" si="42"/>
        <v>0</v>
      </c>
    </row>
    <row r="272" spans="2:14" ht="20.100000000000001" customHeight="1">
      <c r="B272" s="85" t="s">
        <v>385</v>
      </c>
      <c r="C272" s="94" t="s">
        <v>859</v>
      </c>
      <c r="D272" s="86"/>
      <c r="E272" s="86"/>
      <c r="F272" s="86"/>
      <c r="G272" s="86"/>
      <c r="H272" s="87"/>
      <c r="I272" s="86"/>
      <c r="J272" s="86">
        <v>0</v>
      </c>
      <c r="K272" s="86">
        <v>0</v>
      </c>
      <c r="L272" s="86">
        <v>0</v>
      </c>
      <c r="M272" s="86">
        <v>0</v>
      </c>
      <c r="N272" s="87">
        <f t="shared" si="42"/>
        <v>0</v>
      </c>
    </row>
    <row r="273" spans="2:14" ht="20.100000000000001" customHeight="1">
      <c r="B273" s="85" t="s">
        <v>387</v>
      </c>
      <c r="C273" s="94" t="s">
        <v>388</v>
      </c>
      <c r="D273" s="86"/>
      <c r="E273" s="86"/>
      <c r="F273" s="86"/>
      <c r="G273" s="86"/>
      <c r="H273" s="87"/>
      <c r="I273" s="86"/>
      <c r="J273" s="86">
        <v>0</v>
      </c>
      <c r="K273" s="86">
        <v>0</v>
      </c>
      <c r="L273" s="86">
        <v>0</v>
      </c>
      <c r="M273" s="86">
        <v>0</v>
      </c>
      <c r="N273" s="87">
        <f t="shared" si="42"/>
        <v>0</v>
      </c>
    </row>
    <row r="274" spans="2:14" ht="20.100000000000001" customHeight="1">
      <c r="B274" s="85" t="s">
        <v>599</v>
      </c>
      <c r="C274" s="94" t="s">
        <v>600</v>
      </c>
      <c r="D274" s="86"/>
      <c r="E274" s="86"/>
      <c r="F274" s="86"/>
      <c r="G274" s="86"/>
      <c r="H274" s="87"/>
      <c r="I274" s="86"/>
      <c r="J274" s="86">
        <v>0</v>
      </c>
      <c r="K274" s="86">
        <v>0</v>
      </c>
      <c r="L274" s="86">
        <v>0</v>
      </c>
      <c r="M274" s="86">
        <v>0</v>
      </c>
      <c r="N274" s="87">
        <f t="shared" ref="N274:N307" si="46">M274+L274+K274+J274</f>
        <v>0</v>
      </c>
    </row>
    <row r="275" spans="2:14" ht="20.100000000000001" customHeight="1">
      <c r="B275" s="85" t="s">
        <v>389</v>
      </c>
      <c r="C275" s="94" t="s">
        <v>390</v>
      </c>
      <c r="D275" s="86"/>
      <c r="E275" s="86"/>
      <c r="F275" s="86"/>
      <c r="G275" s="86"/>
      <c r="H275" s="87"/>
      <c r="I275" s="86"/>
      <c r="J275" s="86">
        <v>0</v>
      </c>
      <c r="K275" s="86">
        <v>0</v>
      </c>
      <c r="L275" s="86">
        <v>0</v>
      </c>
      <c r="M275" s="86">
        <v>0</v>
      </c>
      <c r="N275" s="87">
        <f t="shared" si="46"/>
        <v>0</v>
      </c>
    </row>
    <row r="276" spans="2:14" ht="20.100000000000001" customHeight="1">
      <c r="B276" s="85" t="s">
        <v>601</v>
      </c>
      <c r="C276" s="94" t="s">
        <v>602</v>
      </c>
      <c r="D276" s="86"/>
      <c r="E276" s="86"/>
      <c r="F276" s="86"/>
      <c r="G276" s="86"/>
      <c r="H276" s="87"/>
      <c r="I276" s="86"/>
      <c r="J276" s="86">
        <v>0</v>
      </c>
      <c r="K276" s="86">
        <v>0</v>
      </c>
      <c r="L276" s="86">
        <v>0</v>
      </c>
      <c r="M276" s="86">
        <v>0</v>
      </c>
      <c r="N276" s="87">
        <f t="shared" si="46"/>
        <v>0</v>
      </c>
    </row>
    <row r="277" spans="2:14" ht="20.100000000000001" customHeight="1">
      <c r="B277" s="85" t="s">
        <v>954</v>
      </c>
      <c r="C277" s="94" t="s">
        <v>955</v>
      </c>
      <c r="D277" s="86"/>
      <c r="E277" s="86"/>
      <c r="F277" s="86"/>
      <c r="G277" s="86"/>
      <c r="H277" s="87"/>
      <c r="I277" s="86"/>
      <c r="J277" s="86">
        <v>0</v>
      </c>
      <c r="K277" s="86">
        <v>0</v>
      </c>
      <c r="L277" s="86">
        <v>0</v>
      </c>
      <c r="M277" s="86">
        <v>0</v>
      </c>
      <c r="N277" s="87">
        <f t="shared" si="46"/>
        <v>0</v>
      </c>
    </row>
    <row r="278" spans="2:14" ht="20.100000000000001" customHeight="1">
      <c r="B278" s="85" t="s">
        <v>583</v>
      </c>
      <c r="C278" s="94" t="s">
        <v>585</v>
      </c>
      <c r="D278" s="86"/>
      <c r="E278" s="86"/>
      <c r="F278" s="86"/>
      <c r="G278" s="86"/>
      <c r="H278" s="87"/>
      <c r="I278" s="86"/>
      <c r="J278" s="86">
        <v>0</v>
      </c>
      <c r="K278" s="86">
        <v>0</v>
      </c>
      <c r="L278" s="86">
        <v>0</v>
      </c>
      <c r="M278" s="86">
        <v>0</v>
      </c>
      <c r="N278" s="87">
        <f t="shared" si="46"/>
        <v>0</v>
      </c>
    </row>
    <row r="279" spans="2:14" ht="20.100000000000001" customHeight="1">
      <c r="B279" s="85" t="s">
        <v>584</v>
      </c>
      <c r="C279" s="94" t="s">
        <v>586</v>
      </c>
      <c r="D279" s="86"/>
      <c r="E279" s="86"/>
      <c r="F279" s="86"/>
      <c r="G279" s="86"/>
      <c r="H279" s="87"/>
      <c r="I279" s="86"/>
      <c r="J279" s="86">
        <v>0</v>
      </c>
      <c r="K279" s="86">
        <v>0</v>
      </c>
      <c r="L279" s="86">
        <v>0</v>
      </c>
      <c r="M279" s="86">
        <v>0</v>
      </c>
      <c r="N279" s="87">
        <f t="shared" si="46"/>
        <v>0</v>
      </c>
    </row>
    <row r="280" spans="2:14" ht="20.100000000000001" customHeight="1">
      <c r="B280" s="85" t="s">
        <v>740</v>
      </c>
      <c r="C280" s="94" t="s">
        <v>741</v>
      </c>
      <c r="D280" s="86"/>
      <c r="E280" s="86"/>
      <c r="F280" s="86"/>
      <c r="G280" s="86"/>
      <c r="H280" s="87"/>
      <c r="I280" s="86"/>
      <c r="J280" s="86">
        <v>0</v>
      </c>
      <c r="K280" s="86">
        <v>0</v>
      </c>
      <c r="L280" s="86">
        <v>0</v>
      </c>
      <c r="M280" s="86">
        <v>0</v>
      </c>
      <c r="N280" s="87">
        <f t="shared" si="46"/>
        <v>0</v>
      </c>
    </row>
    <row r="281" spans="2:14" ht="20.100000000000001" customHeight="1">
      <c r="B281" s="85" t="s">
        <v>587</v>
      </c>
      <c r="C281" s="94" t="s">
        <v>588</v>
      </c>
      <c r="D281" s="86"/>
      <c r="E281" s="86"/>
      <c r="F281" s="86"/>
      <c r="G281" s="86"/>
      <c r="H281" s="87"/>
      <c r="I281" s="86"/>
      <c r="J281" s="86">
        <v>0</v>
      </c>
      <c r="K281" s="86">
        <v>0</v>
      </c>
      <c r="L281" s="86">
        <v>0</v>
      </c>
      <c r="M281" s="86">
        <v>0</v>
      </c>
      <c r="N281" s="87">
        <f t="shared" si="46"/>
        <v>0</v>
      </c>
    </row>
    <row r="282" spans="2:14" ht="20.100000000000001" customHeight="1">
      <c r="B282" s="85" t="s">
        <v>589</v>
      </c>
      <c r="C282" s="94" t="s">
        <v>590</v>
      </c>
      <c r="D282" s="86"/>
      <c r="E282" s="86"/>
      <c r="F282" s="86"/>
      <c r="G282" s="86"/>
      <c r="H282" s="87"/>
      <c r="I282" s="86"/>
      <c r="J282" s="86">
        <v>0</v>
      </c>
      <c r="K282" s="86">
        <v>0</v>
      </c>
      <c r="L282" s="86">
        <v>0</v>
      </c>
      <c r="M282" s="86">
        <v>0</v>
      </c>
      <c r="N282" s="87">
        <f t="shared" si="46"/>
        <v>0</v>
      </c>
    </row>
    <row r="283" spans="2:14" ht="20.100000000000001" customHeight="1">
      <c r="B283" s="85" t="s">
        <v>662</v>
      </c>
      <c r="C283" s="94" t="s">
        <v>663</v>
      </c>
      <c r="D283" s="86"/>
      <c r="E283" s="86"/>
      <c r="F283" s="86"/>
      <c r="G283" s="86"/>
      <c r="H283" s="87"/>
      <c r="I283" s="86"/>
      <c r="J283" s="86">
        <v>0</v>
      </c>
      <c r="K283" s="86">
        <v>0</v>
      </c>
      <c r="L283" s="86">
        <v>0</v>
      </c>
      <c r="M283" s="86">
        <v>0</v>
      </c>
      <c r="N283" s="87">
        <f t="shared" si="46"/>
        <v>0</v>
      </c>
    </row>
    <row r="284" spans="2:14" ht="20.100000000000001" customHeight="1">
      <c r="B284" s="85" t="s">
        <v>664</v>
      </c>
      <c r="C284" s="94" t="s">
        <v>665</v>
      </c>
      <c r="D284" s="86"/>
      <c r="E284" s="86"/>
      <c r="F284" s="86"/>
      <c r="G284" s="86"/>
      <c r="H284" s="87"/>
      <c r="I284" s="86"/>
      <c r="J284" s="86">
        <v>0</v>
      </c>
      <c r="K284" s="86">
        <v>0</v>
      </c>
      <c r="L284" s="86">
        <v>0</v>
      </c>
      <c r="M284" s="86">
        <v>0</v>
      </c>
      <c r="N284" s="87">
        <f t="shared" si="46"/>
        <v>0</v>
      </c>
    </row>
    <row r="285" spans="2:14" ht="20.100000000000001" customHeight="1">
      <c r="B285" s="85" t="s">
        <v>666</v>
      </c>
      <c r="C285" s="94" t="s">
        <v>667</v>
      </c>
      <c r="D285" s="86"/>
      <c r="E285" s="86"/>
      <c r="F285" s="86"/>
      <c r="G285" s="86"/>
      <c r="H285" s="87"/>
      <c r="I285" s="86"/>
      <c r="J285" s="86">
        <v>0</v>
      </c>
      <c r="K285" s="86">
        <v>0</v>
      </c>
      <c r="L285" s="86">
        <v>0</v>
      </c>
      <c r="M285" s="86">
        <v>0</v>
      </c>
      <c r="N285" s="87">
        <f t="shared" si="46"/>
        <v>0</v>
      </c>
    </row>
    <row r="286" spans="2:14" ht="20.100000000000001" customHeight="1">
      <c r="B286" s="85" t="s">
        <v>666</v>
      </c>
      <c r="C286" s="94" t="s">
        <v>1302</v>
      </c>
      <c r="D286" s="86"/>
      <c r="E286" s="86"/>
      <c r="F286" s="86"/>
      <c r="G286" s="86"/>
      <c r="H286" s="87"/>
      <c r="I286" s="86"/>
      <c r="J286" s="86">
        <v>0</v>
      </c>
      <c r="K286" s="86">
        <v>0</v>
      </c>
      <c r="L286" s="86">
        <v>0</v>
      </c>
      <c r="M286" s="86">
        <v>0</v>
      </c>
      <c r="N286" s="87">
        <f t="shared" ref="N286" si="47">M286+L286+K286+J286</f>
        <v>0</v>
      </c>
    </row>
    <row r="287" spans="2:14" ht="20.100000000000001" customHeight="1">
      <c r="B287" s="85" t="s">
        <v>300</v>
      </c>
      <c r="C287" s="94" t="s">
        <v>302</v>
      </c>
      <c r="D287" s="86"/>
      <c r="E287" s="86"/>
      <c r="F287" s="86"/>
      <c r="G287" s="86"/>
      <c r="H287" s="87"/>
      <c r="I287" s="86"/>
      <c r="J287" s="86">
        <v>0</v>
      </c>
      <c r="K287" s="86">
        <v>0</v>
      </c>
      <c r="L287" s="86">
        <v>0</v>
      </c>
      <c r="M287" s="86">
        <v>0</v>
      </c>
      <c r="N287" s="87">
        <f t="shared" si="46"/>
        <v>0</v>
      </c>
    </row>
    <row r="288" spans="2:14" ht="20.100000000000001" customHeight="1">
      <c r="B288" s="85" t="s">
        <v>668</v>
      </c>
      <c r="C288" s="94" t="s">
        <v>669</v>
      </c>
      <c r="D288" s="86"/>
      <c r="E288" s="86"/>
      <c r="F288" s="86"/>
      <c r="G288" s="86"/>
      <c r="H288" s="87"/>
      <c r="I288" s="86"/>
      <c r="J288" s="86">
        <v>0</v>
      </c>
      <c r="K288" s="86">
        <v>0</v>
      </c>
      <c r="L288" s="86">
        <v>0</v>
      </c>
      <c r="M288" s="86">
        <v>0</v>
      </c>
      <c r="N288" s="87">
        <f t="shared" si="46"/>
        <v>0</v>
      </c>
    </row>
    <row r="289" spans="2:14" ht="20.100000000000001" customHeight="1">
      <c r="B289" s="85" t="s">
        <v>668</v>
      </c>
      <c r="C289" s="94" t="s">
        <v>872</v>
      </c>
      <c r="D289" s="86"/>
      <c r="E289" s="86"/>
      <c r="F289" s="86"/>
      <c r="G289" s="86"/>
      <c r="H289" s="87"/>
      <c r="I289" s="86"/>
      <c r="J289" s="86">
        <v>0</v>
      </c>
      <c r="K289" s="86">
        <v>0</v>
      </c>
      <c r="L289" s="86">
        <v>0</v>
      </c>
      <c r="M289" s="86">
        <v>0</v>
      </c>
      <c r="N289" s="87">
        <f t="shared" si="46"/>
        <v>0</v>
      </c>
    </row>
    <row r="290" spans="2:14" ht="20.100000000000001" customHeight="1">
      <c r="B290" s="85" t="s">
        <v>301</v>
      </c>
      <c r="C290" s="94" t="s">
        <v>788</v>
      </c>
      <c r="D290" s="86"/>
      <c r="E290" s="86"/>
      <c r="F290" s="86"/>
      <c r="G290" s="86"/>
      <c r="H290" s="87"/>
      <c r="I290" s="86"/>
      <c r="J290" s="86">
        <v>0</v>
      </c>
      <c r="K290" s="86">
        <v>0</v>
      </c>
      <c r="L290" s="86">
        <v>0</v>
      </c>
      <c r="M290" s="86">
        <v>0</v>
      </c>
      <c r="N290" s="87">
        <f t="shared" si="46"/>
        <v>0</v>
      </c>
    </row>
    <row r="291" spans="2:14" ht="20.100000000000001" customHeight="1">
      <c r="B291" s="85" t="s">
        <v>301</v>
      </c>
      <c r="C291" s="94" t="s">
        <v>303</v>
      </c>
      <c r="D291" s="86"/>
      <c r="E291" s="86"/>
      <c r="F291" s="86"/>
      <c r="G291" s="86"/>
      <c r="H291" s="87"/>
      <c r="I291" s="86"/>
      <c r="J291" s="86">
        <v>0</v>
      </c>
      <c r="K291" s="86">
        <v>0</v>
      </c>
      <c r="L291" s="86">
        <v>0</v>
      </c>
      <c r="M291" s="86">
        <v>0</v>
      </c>
      <c r="N291" s="87">
        <f t="shared" si="46"/>
        <v>0</v>
      </c>
    </row>
    <row r="292" spans="2:14" ht="20.100000000000001" customHeight="1">
      <c r="B292" s="85" t="s">
        <v>670</v>
      </c>
      <c r="C292" s="94" t="s">
        <v>671</v>
      </c>
      <c r="D292" s="86"/>
      <c r="E292" s="86"/>
      <c r="F292" s="86"/>
      <c r="G292" s="86"/>
      <c r="H292" s="87"/>
      <c r="I292" s="86"/>
      <c r="J292" s="86">
        <v>0</v>
      </c>
      <c r="K292" s="86">
        <v>0</v>
      </c>
      <c r="L292" s="86">
        <v>0</v>
      </c>
      <c r="M292" s="86">
        <v>0</v>
      </c>
      <c r="N292" s="87">
        <f t="shared" si="46"/>
        <v>0</v>
      </c>
    </row>
    <row r="293" spans="2:14" ht="20.100000000000001" customHeight="1">
      <c r="B293" s="85" t="s">
        <v>481</v>
      </c>
      <c r="C293" s="94" t="s">
        <v>482</v>
      </c>
      <c r="D293" s="86"/>
      <c r="E293" s="86"/>
      <c r="F293" s="86"/>
      <c r="G293" s="86"/>
      <c r="H293" s="87"/>
      <c r="I293" s="86"/>
      <c r="J293" s="86">
        <v>0</v>
      </c>
      <c r="K293" s="86">
        <v>0</v>
      </c>
      <c r="L293" s="86">
        <v>0</v>
      </c>
      <c r="M293" s="86">
        <v>0</v>
      </c>
      <c r="N293" s="87">
        <f t="shared" si="46"/>
        <v>0</v>
      </c>
    </row>
    <row r="294" spans="2:14" ht="20.100000000000001" customHeight="1">
      <c r="B294" s="85" t="s">
        <v>672</v>
      </c>
      <c r="C294" s="94" t="s">
        <v>909</v>
      </c>
      <c r="D294" s="86"/>
      <c r="E294" s="86"/>
      <c r="F294" s="86"/>
      <c r="G294" s="86"/>
      <c r="H294" s="87"/>
      <c r="I294" s="86"/>
      <c r="J294" s="86">
        <v>0</v>
      </c>
      <c r="K294" s="86">
        <v>0</v>
      </c>
      <c r="L294" s="86">
        <v>0</v>
      </c>
      <c r="M294" s="86">
        <v>0</v>
      </c>
      <c r="N294" s="87">
        <f t="shared" si="46"/>
        <v>0</v>
      </c>
    </row>
    <row r="295" spans="2:14" ht="20.100000000000001" customHeight="1">
      <c r="B295" s="85" t="s">
        <v>1263</v>
      </c>
      <c r="C295" s="94" t="s">
        <v>1264</v>
      </c>
      <c r="D295" s="86"/>
      <c r="E295" s="86"/>
      <c r="F295" s="86"/>
      <c r="G295" s="86"/>
      <c r="H295" s="87"/>
      <c r="I295" s="86"/>
      <c r="J295" s="86">
        <v>0</v>
      </c>
      <c r="K295" s="86">
        <v>0</v>
      </c>
      <c r="L295" s="86">
        <v>0</v>
      </c>
      <c r="M295" s="86">
        <v>0</v>
      </c>
      <c r="N295" s="87">
        <f t="shared" ref="N295" si="48">M295+L295+K295+J295</f>
        <v>0</v>
      </c>
    </row>
    <row r="296" spans="2:14" ht="20.100000000000001" customHeight="1">
      <c r="B296" s="85" t="s">
        <v>1056</v>
      </c>
      <c r="C296" s="94" t="s">
        <v>1057</v>
      </c>
      <c r="D296" s="86"/>
      <c r="E296" s="86"/>
      <c r="F296" s="86"/>
      <c r="G296" s="86"/>
      <c r="H296" s="87"/>
      <c r="I296" s="86"/>
      <c r="J296" s="86"/>
      <c r="K296" s="86"/>
      <c r="L296" s="86">
        <v>0</v>
      </c>
      <c r="M296" s="86">
        <v>0</v>
      </c>
      <c r="N296" s="87">
        <f t="shared" si="46"/>
        <v>0</v>
      </c>
    </row>
    <row r="297" spans="2:14" ht="20.100000000000001" customHeight="1">
      <c r="B297" s="85" t="s">
        <v>699</v>
      </c>
      <c r="C297" s="94" t="s">
        <v>700</v>
      </c>
      <c r="D297" s="86"/>
      <c r="E297" s="86"/>
      <c r="F297" s="86"/>
      <c r="G297" s="86"/>
      <c r="H297" s="87"/>
      <c r="I297" s="86"/>
      <c r="J297" s="86"/>
      <c r="K297" s="86"/>
      <c r="L297" s="86">
        <v>0</v>
      </c>
      <c r="M297" s="86">
        <v>0</v>
      </c>
      <c r="N297" s="87">
        <f t="shared" si="46"/>
        <v>0</v>
      </c>
    </row>
    <row r="298" spans="2:14" ht="20.100000000000001" customHeight="1">
      <c r="B298" s="85" t="s">
        <v>701</v>
      </c>
      <c r="C298" s="94" t="s">
        <v>702</v>
      </c>
      <c r="D298" s="86"/>
      <c r="E298" s="86"/>
      <c r="F298" s="86"/>
      <c r="G298" s="86"/>
      <c r="H298" s="87"/>
      <c r="I298" s="86"/>
      <c r="J298" s="86">
        <v>0</v>
      </c>
      <c r="K298" s="86">
        <v>0</v>
      </c>
      <c r="L298" s="86">
        <v>0</v>
      </c>
      <c r="M298" s="86">
        <v>0</v>
      </c>
      <c r="N298" s="87">
        <f t="shared" si="46"/>
        <v>0</v>
      </c>
    </row>
    <row r="299" spans="2:14" ht="20.100000000000001" customHeight="1">
      <c r="B299" s="85" t="s">
        <v>579</v>
      </c>
      <c r="C299" s="94" t="s">
        <v>580</v>
      </c>
      <c r="D299" s="86"/>
      <c r="E299" s="86"/>
      <c r="F299" s="86"/>
      <c r="G299" s="86"/>
      <c r="H299" s="87"/>
      <c r="I299" s="86"/>
      <c r="J299" s="86">
        <v>0</v>
      </c>
      <c r="K299" s="86">
        <v>0</v>
      </c>
      <c r="L299" s="86"/>
      <c r="M299" s="86">
        <v>0</v>
      </c>
      <c r="N299" s="87">
        <f t="shared" si="46"/>
        <v>0</v>
      </c>
    </row>
    <row r="300" spans="2:14" ht="20.100000000000001" customHeight="1">
      <c r="B300" s="85" t="s">
        <v>360</v>
      </c>
      <c r="C300" s="94" t="s">
        <v>361</v>
      </c>
      <c r="D300" s="86"/>
      <c r="E300" s="86"/>
      <c r="F300" s="86"/>
      <c r="G300" s="86"/>
      <c r="H300" s="87"/>
      <c r="I300" s="86"/>
      <c r="J300" s="86">
        <v>0</v>
      </c>
      <c r="K300" s="86">
        <v>0</v>
      </c>
      <c r="L300" s="86">
        <v>0</v>
      </c>
      <c r="M300" s="86">
        <v>0</v>
      </c>
      <c r="N300" s="87">
        <f t="shared" si="46"/>
        <v>0</v>
      </c>
    </row>
    <row r="301" spans="2:14" ht="20.100000000000001" customHeight="1">
      <c r="B301" s="85" t="s">
        <v>581</v>
      </c>
      <c r="C301" s="94" t="s">
        <v>582</v>
      </c>
      <c r="D301" s="86"/>
      <c r="E301" s="86"/>
      <c r="F301" s="86"/>
      <c r="G301" s="86"/>
      <c r="H301" s="87"/>
      <c r="I301" s="86"/>
      <c r="J301" s="86">
        <v>0</v>
      </c>
      <c r="K301" s="86">
        <v>0</v>
      </c>
      <c r="L301" s="86">
        <v>0</v>
      </c>
      <c r="M301" s="86">
        <v>0</v>
      </c>
      <c r="N301" s="87">
        <f t="shared" si="46"/>
        <v>0</v>
      </c>
    </row>
    <row r="302" spans="2:14" ht="20.100000000000001" customHeight="1">
      <c r="B302" s="85" t="s">
        <v>218</v>
      </c>
      <c r="C302" s="94" t="s">
        <v>219</v>
      </c>
      <c r="D302" s="86"/>
      <c r="E302" s="86"/>
      <c r="F302" s="86"/>
      <c r="G302" s="86"/>
      <c r="H302" s="87"/>
      <c r="I302" s="86"/>
      <c r="J302" s="86">
        <v>0</v>
      </c>
      <c r="K302" s="86">
        <v>0</v>
      </c>
      <c r="L302" s="86"/>
      <c r="M302" s="86">
        <v>0</v>
      </c>
      <c r="N302" s="87">
        <f t="shared" si="46"/>
        <v>0</v>
      </c>
    </row>
    <row r="303" spans="2:14" ht="20.100000000000001" customHeight="1">
      <c r="B303" s="85" t="s">
        <v>904</v>
      </c>
      <c r="C303" s="94" t="s">
        <v>905</v>
      </c>
      <c r="D303" s="86"/>
      <c r="E303" s="86"/>
      <c r="F303" s="86"/>
      <c r="G303" s="86"/>
      <c r="H303" s="87"/>
      <c r="I303" s="86"/>
      <c r="J303" s="86">
        <v>0</v>
      </c>
      <c r="K303" s="86">
        <v>0</v>
      </c>
      <c r="L303" s="86">
        <v>0</v>
      </c>
      <c r="M303" s="86">
        <v>0</v>
      </c>
      <c r="N303" s="87">
        <f t="shared" si="46"/>
        <v>0</v>
      </c>
    </row>
    <row r="304" spans="2:14" ht="20.100000000000001" customHeight="1">
      <c r="B304" s="85" t="s">
        <v>827</v>
      </c>
      <c r="C304" s="94" t="s">
        <v>828</v>
      </c>
      <c r="D304" s="86"/>
      <c r="E304" s="86"/>
      <c r="F304" s="86"/>
      <c r="G304" s="86"/>
      <c r="H304" s="87"/>
      <c r="I304" s="86"/>
      <c r="J304" s="86">
        <v>0</v>
      </c>
      <c r="K304" s="86">
        <v>0</v>
      </c>
      <c r="L304" s="86"/>
      <c r="M304" s="86">
        <v>0</v>
      </c>
      <c r="N304" s="87">
        <f t="shared" si="46"/>
        <v>0</v>
      </c>
    </row>
    <row r="305" spans="2:14" ht="20.100000000000001" customHeight="1">
      <c r="B305" s="85" t="s">
        <v>362</v>
      </c>
      <c r="C305" s="94" t="s">
        <v>363</v>
      </c>
      <c r="D305" s="86"/>
      <c r="E305" s="86"/>
      <c r="F305" s="86"/>
      <c r="G305" s="86"/>
      <c r="H305" s="87"/>
      <c r="I305" s="86"/>
      <c r="J305" s="86"/>
      <c r="K305" s="86">
        <v>0</v>
      </c>
      <c r="L305" s="86">
        <v>0</v>
      </c>
      <c r="M305" s="86">
        <v>0</v>
      </c>
      <c r="N305" s="87">
        <f t="shared" si="46"/>
        <v>0</v>
      </c>
    </row>
    <row r="306" spans="2:14" ht="19.5" customHeight="1">
      <c r="B306" s="85" t="s">
        <v>220</v>
      </c>
      <c r="C306" s="94" t="s">
        <v>1058</v>
      </c>
      <c r="D306" s="86"/>
      <c r="E306" s="86"/>
      <c r="F306" s="86"/>
      <c r="G306" s="86"/>
      <c r="H306" s="87"/>
      <c r="I306" s="86"/>
      <c r="J306" s="86">
        <v>0</v>
      </c>
      <c r="K306" s="86">
        <v>0</v>
      </c>
      <c r="L306" s="86">
        <v>0</v>
      </c>
      <c r="M306" s="86">
        <v>0</v>
      </c>
      <c r="N306" s="87">
        <f t="shared" si="46"/>
        <v>0</v>
      </c>
    </row>
    <row r="307" spans="2:14" ht="18" customHeight="1">
      <c r="B307" s="85" t="s">
        <v>742</v>
      </c>
      <c r="C307" s="94" t="s">
        <v>774</v>
      </c>
      <c r="D307" s="86"/>
      <c r="E307" s="86"/>
      <c r="F307" s="86"/>
      <c r="G307" s="86"/>
      <c r="H307" s="87"/>
      <c r="I307" s="86"/>
      <c r="J307" s="86">
        <v>0</v>
      </c>
      <c r="K307" s="86">
        <v>0</v>
      </c>
      <c r="L307" s="86">
        <v>0</v>
      </c>
      <c r="M307" s="86">
        <v>0</v>
      </c>
      <c r="N307" s="87">
        <f t="shared" si="46"/>
        <v>0</v>
      </c>
    </row>
    <row r="308" spans="2:14" ht="18.75" customHeight="1">
      <c r="B308" s="85" t="s">
        <v>775</v>
      </c>
      <c r="C308" s="94" t="s">
        <v>776</v>
      </c>
      <c r="D308" s="86"/>
      <c r="E308" s="86"/>
      <c r="F308" s="86"/>
      <c r="G308" s="86"/>
      <c r="H308" s="87"/>
      <c r="I308" s="86"/>
      <c r="J308" s="86">
        <v>0</v>
      </c>
      <c r="K308" s="86">
        <v>0</v>
      </c>
      <c r="L308" s="86">
        <v>0</v>
      </c>
      <c r="M308" s="86">
        <v>0</v>
      </c>
      <c r="N308" s="87">
        <f t="shared" ref="N308:N315" si="49">M308+L308+K308+J308</f>
        <v>0</v>
      </c>
    </row>
    <row r="309" spans="2:14" ht="18.75" customHeight="1">
      <c r="B309" s="85" t="s">
        <v>1105</v>
      </c>
      <c r="C309" s="94" t="s">
        <v>1106</v>
      </c>
      <c r="D309" s="86"/>
      <c r="E309" s="86"/>
      <c r="F309" s="86"/>
      <c r="G309" s="86"/>
      <c r="H309" s="87"/>
      <c r="I309" s="86"/>
      <c r="J309" s="86">
        <v>0</v>
      </c>
      <c r="K309" s="86">
        <v>0</v>
      </c>
      <c r="L309" s="86">
        <v>0</v>
      </c>
      <c r="M309" s="86">
        <v>0</v>
      </c>
      <c r="N309" s="87">
        <f t="shared" si="49"/>
        <v>0</v>
      </c>
    </row>
    <row r="310" spans="2:14" ht="18" customHeight="1">
      <c r="B310" s="85" t="s">
        <v>222</v>
      </c>
      <c r="C310" s="94" t="s">
        <v>223</v>
      </c>
      <c r="D310" s="86"/>
      <c r="E310" s="86"/>
      <c r="F310" s="86"/>
      <c r="G310" s="86"/>
      <c r="H310" s="87"/>
      <c r="I310" s="86"/>
      <c r="J310" s="86">
        <v>0</v>
      </c>
      <c r="K310" s="86">
        <v>0</v>
      </c>
      <c r="L310" s="86">
        <v>0</v>
      </c>
      <c r="M310" s="86">
        <v>0</v>
      </c>
      <c r="N310" s="87">
        <f t="shared" si="49"/>
        <v>0</v>
      </c>
    </row>
    <row r="311" spans="2:14" ht="19.5" customHeight="1">
      <c r="B311" s="85" t="s">
        <v>224</v>
      </c>
      <c r="C311" s="94" t="s">
        <v>225</v>
      </c>
      <c r="D311" s="86"/>
      <c r="E311" s="86"/>
      <c r="F311" s="86"/>
      <c r="G311" s="86"/>
      <c r="H311" s="87"/>
      <c r="I311" s="86"/>
      <c r="J311" s="86">
        <v>0</v>
      </c>
      <c r="K311" s="86">
        <v>0</v>
      </c>
      <c r="L311" s="86">
        <v>0</v>
      </c>
      <c r="M311" s="86">
        <v>0</v>
      </c>
      <c r="N311" s="87">
        <f t="shared" si="49"/>
        <v>0</v>
      </c>
    </row>
    <row r="312" spans="2:14" ht="19.5" customHeight="1">
      <c r="B312" s="85" t="s">
        <v>1275</v>
      </c>
      <c r="C312" s="94" t="s">
        <v>1276</v>
      </c>
      <c r="D312" s="86"/>
      <c r="E312" s="86"/>
      <c r="F312" s="86"/>
      <c r="G312" s="86"/>
      <c r="H312" s="87"/>
      <c r="I312" s="86"/>
      <c r="J312" s="86">
        <v>0</v>
      </c>
      <c r="K312" s="86">
        <v>0</v>
      </c>
      <c r="L312" s="86">
        <v>0</v>
      </c>
      <c r="M312" s="86">
        <v>0</v>
      </c>
      <c r="N312" s="87">
        <f t="shared" ref="N312" si="50">M312+L312+K312+J312</f>
        <v>0</v>
      </c>
    </row>
    <row r="313" spans="2:14" ht="19.5" customHeight="1">
      <c r="B313" s="85" t="s">
        <v>1277</v>
      </c>
      <c r="C313" s="94" t="s">
        <v>1278</v>
      </c>
      <c r="D313" s="86"/>
      <c r="E313" s="86"/>
      <c r="F313" s="86"/>
      <c r="G313" s="86"/>
      <c r="H313" s="87"/>
      <c r="I313" s="86"/>
      <c r="J313" s="86">
        <v>0</v>
      </c>
      <c r="K313" s="86">
        <v>0</v>
      </c>
      <c r="L313" s="86">
        <v>0</v>
      </c>
      <c r="M313" s="86">
        <v>0</v>
      </c>
      <c r="N313" s="87">
        <f t="shared" ref="N313" si="51">M313+L313+K313+J313</f>
        <v>0</v>
      </c>
    </row>
    <row r="314" spans="2:14" ht="18.75" customHeight="1">
      <c r="B314" s="85" t="s">
        <v>659</v>
      </c>
      <c r="C314" s="94" t="s">
        <v>660</v>
      </c>
      <c r="D314" s="86"/>
      <c r="E314" s="86"/>
      <c r="F314" s="86"/>
      <c r="G314" s="86"/>
      <c r="H314" s="87"/>
      <c r="I314" s="86"/>
      <c r="J314" s="86">
        <v>0</v>
      </c>
      <c r="K314" s="86">
        <v>0</v>
      </c>
      <c r="L314" s="86">
        <v>0</v>
      </c>
      <c r="M314" s="86">
        <v>0</v>
      </c>
      <c r="N314" s="87">
        <f t="shared" si="49"/>
        <v>0</v>
      </c>
    </row>
    <row r="315" spans="2:14" ht="19.5" customHeight="1">
      <c r="B315" s="85" t="s">
        <v>473</v>
      </c>
      <c r="C315" s="94" t="s">
        <v>474</v>
      </c>
      <c r="D315" s="86"/>
      <c r="E315" s="86"/>
      <c r="F315" s="86"/>
      <c r="G315" s="86"/>
      <c r="H315" s="87"/>
      <c r="I315" s="86"/>
      <c r="J315" s="86">
        <v>0</v>
      </c>
      <c r="K315" s="86">
        <v>0</v>
      </c>
      <c r="L315" s="86">
        <v>0</v>
      </c>
      <c r="M315" s="86">
        <v>0</v>
      </c>
      <c r="N315" s="87">
        <f t="shared" si="49"/>
        <v>0</v>
      </c>
    </row>
    <row r="316" spans="2:14" ht="20.100000000000001" customHeight="1">
      <c r="B316" s="304" t="s">
        <v>22</v>
      </c>
      <c r="C316" s="305"/>
      <c r="D316" s="74">
        <f>SUM(D238:D315)</f>
        <v>0</v>
      </c>
      <c r="E316" s="74">
        <f>SUM(E238:E315)</f>
        <v>0</v>
      </c>
      <c r="F316" s="74">
        <f>SUM(F238:F315)</f>
        <v>0</v>
      </c>
      <c r="G316" s="74"/>
      <c r="H316" s="74">
        <f t="shared" ref="H316:N316" si="52">SUM(H238:H315)</f>
        <v>0</v>
      </c>
      <c r="I316" s="74">
        <f t="shared" si="52"/>
        <v>0</v>
      </c>
      <c r="J316" s="74">
        <f t="shared" si="52"/>
        <v>0</v>
      </c>
      <c r="K316" s="74">
        <f t="shared" si="52"/>
        <v>0</v>
      </c>
      <c r="L316" s="74">
        <f t="shared" si="52"/>
        <v>0</v>
      </c>
      <c r="M316" s="74">
        <f t="shared" si="52"/>
        <v>0</v>
      </c>
      <c r="N316" s="74">
        <f t="shared" si="52"/>
        <v>0</v>
      </c>
    </row>
    <row r="317" spans="2:14" ht="20.100000000000001" customHeight="1">
      <c r="B317" s="100" t="s">
        <v>23</v>
      </c>
      <c r="C317" s="100"/>
      <c r="D317" s="102"/>
      <c r="E317" s="100"/>
      <c r="F317" s="100"/>
      <c r="G317" s="100"/>
      <c r="H317" s="100"/>
      <c r="I317" s="102"/>
      <c r="J317" s="100"/>
      <c r="K317" s="100"/>
      <c r="L317" s="100"/>
      <c r="M317" s="100"/>
      <c r="N317" s="100"/>
    </row>
    <row r="318" spans="2:14" ht="20.100000000000001" customHeight="1">
      <c r="B318" s="85" t="s">
        <v>607</v>
      </c>
      <c r="C318" s="85" t="s">
        <v>1195</v>
      </c>
      <c r="D318" s="86"/>
      <c r="E318" s="86"/>
      <c r="F318" s="86"/>
      <c r="G318" s="86"/>
      <c r="H318" s="87"/>
      <c r="I318" s="86"/>
      <c r="J318" s="86">
        <v>0</v>
      </c>
      <c r="K318" s="86">
        <v>0</v>
      </c>
      <c r="L318" s="86">
        <v>0</v>
      </c>
      <c r="M318" s="86">
        <v>0</v>
      </c>
      <c r="N318" s="87">
        <f t="shared" ref="N318:N350" si="53">M318+L318+K318+J318</f>
        <v>0</v>
      </c>
    </row>
    <row r="319" spans="2:14" ht="20.100000000000001" customHeight="1">
      <c r="B319" s="85" t="s">
        <v>609</v>
      </c>
      <c r="C319" s="85" t="s">
        <v>1169</v>
      </c>
      <c r="D319" s="86"/>
      <c r="E319" s="86"/>
      <c r="F319" s="86"/>
      <c r="G319" s="86"/>
      <c r="H319" s="87"/>
      <c r="I319" s="86"/>
      <c r="J319" s="86">
        <v>0</v>
      </c>
      <c r="K319" s="86">
        <v>0</v>
      </c>
      <c r="L319" s="86">
        <v>0</v>
      </c>
      <c r="M319" s="86">
        <v>0</v>
      </c>
      <c r="N319" s="87">
        <f t="shared" si="53"/>
        <v>0</v>
      </c>
    </row>
    <row r="320" spans="2:14" ht="20.100000000000001" customHeight="1">
      <c r="B320" s="85" t="s">
        <v>611</v>
      </c>
      <c r="C320" s="85" t="s">
        <v>1196</v>
      </c>
      <c r="D320" s="86"/>
      <c r="E320" s="86"/>
      <c r="F320" s="86"/>
      <c r="G320" s="86"/>
      <c r="H320" s="87"/>
      <c r="I320" s="86"/>
      <c r="J320" s="86">
        <v>0</v>
      </c>
      <c r="K320" s="86">
        <v>0</v>
      </c>
      <c r="L320" s="86">
        <v>0</v>
      </c>
      <c r="M320" s="86">
        <v>0</v>
      </c>
      <c r="N320" s="87">
        <f t="shared" si="53"/>
        <v>0</v>
      </c>
    </row>
    <row r="321" spans="2:14" ht="20.100000000000001" customHeight="1">
      <c r="B321" s="85" t="s">
        <v>613</v>
      </c>
      <c r="C321" s="85" t="s">
        <v>1197</v>
      </c>
      <c r="D321" s="86"/>
      <c r="E321" s="86"/>
      <c r="F321" s="86"/>
      <c r="G321" s="86"/>
      <c r="H321" s="87"/>
      <c r="I321" s="86"/>
      <c r="J321" s="86">
        <v>0</v>
      </c>
      <c r="K321" s="86">
        <v>0</v>
      </c>
      <c r="L321" s="86">
        <v>0</v>
      </c>
      <c r="M321" s="86">
        <v>0</v>
      </c>
      <c r="N321" s="87">
        <f t="shared" si="53"/>
        <v>0</v>
      </c>
    </row>
    <row r="322" spans="2:14" ht="20.100000000000001" customHeight="1">
      <c r="B322" s="85" t="s">
        <v>1198</v>
      </c>
      <c r="C322" s="85" t="s">
        <v>1199</v>
      </c>
      <c r="D322" s="86"/>
      <c r="E322" s="86"/>
      <c r="F322" s="86"/>
      <c r="G322" s="86"/>
      <c r="H322" s="87"/>
      <c r="I322" s="86"/>
      <c r="J322" s="86">
        <v>0</v>
      </c>
      <c r="K322" s="86">
        <v>0</v>
      </c>
      <c r="L322" s="86">
        <v>0</v>
      </c>
      <c r="M322" s="86">
        <v>0</v>
      </c>
      <c r="N322" s="87">
        <f t="shared" ref="N322" si="54">M322+L322+K322+J322</f>
        <v>0</v>
      </c>
    </row>
    <row r="323" spans="2:14" ht="20.100000000000001" customHeight="1">
      <c r="B323" s="85" t="s">
        <v>703</v>
      </c>
      <c r="C323" s="85" t="s">
        <v>704</v>
      </c>
      <c r="D323" s="86"/>
      <c r="E323" s="86"/>
      <c r="F323" s="86"/>
      <c r="G323" s="86"/>
      <c r="H323" s="87"/>
      <c r="I323" s="86"/>
      <c r="J323" s="86">
        <v>0</v>
      </c>
      <c r="K323" s="86">
        <v>0</v>
      </c>
      <c r="L323" s="86">
        <v>0</v>
      </c>
      <c r="M323" s="86">
        <v>0</v>
      </c>
      <c r="N323" s="87">
        <f t="shared" si="53"/>
        <v>0</v>
      </c>
    </row>
    <row r="324" spans="2:14" ht="20.100000000000001" customHeight="1">
      <c r="B324" s="85" t="s">
        <v>615</v>
      </c>
      <c r="C324" s="85" t="s">
        <v>906</v>
      </c>
      <c r="D324" s="86"/>
      <c r="E324" s="86"/>
      <c r="F324" s="86"/>
      <c r="G324" s="86"/>
      <c r="H324" s="87"/>
      <c r="I324" s="86"/>
      <c r="J324" s="86">
        <v>0</v>
      </c>
      <c r="K324" s="86">
        <v>0</v>
      </c>
      <c r="L324" s="86">
        <v>0</v>
      </c>
      <c r="M324" s="86">
        <v>0</v>
      </c>
      <c r="N324" s="87">
        <f t="shared" si="53"/>
        <v>0</v>
      </c>
    </row>
    <row r="325" spans="2:14" ht="20.100000000000001" customHeight="1">
      <c r="B325" s="85" t="s">
        <v>956</v>
      </c>
      <c r="C325" s="85" t="s">
        <v>957</v>
      </c>
      <c r="D325" s="86"/>
      <c r="E325" s="86"/>
      <c r="F325" s="86"/>
      <c r="G325" s="86"/>
      <c r="H325" s="87"/>
      <c r="I325" s="86"/>
      <c r="J325" s="86">
        <v>0</v>
      </c>
      <c r="K325" s="86">
        <v>0</v>
      </c>
      <c r="L325" s="86">
        <v>0</v>
      </c>
      <c r="M325" s="86">
        <v>0</v>
      </c>
      <c r="N325" s="87">
        <f t="shared" si="53"/>
        <v>0</v>
      </c>
    </row>
    <row r="326" spans="2:14" ht="20.100000000000001" customHeight="1">
      <c r="B326" s="85" t="s">
        <v>616</v>
      </c>
      <c r="C326" s="85" t="s">
        <v>980</v>
      </c>
      <c r="D326" s="86"/>
      <c r="E326" s="86"/>
      <c r="F326" s="86"/>
      <c r="G326" s="86"/>
      <c r="H326" s="87"/>
      <c r="I326" s="86"/>
      <c r="J326" s="86">
        <v>0</v>
      </c>
      <c r="K326" s="86">
        <v>0</v>
      </c>
      <c r="L326" s="86">
        <v>0</v>
      </c>
      <c r="M326" s="86">
        <v>0</v>
      </c>
      <c r="N326" s="87">
        <f t="shared" si="53"/>
        <v>0</v>
      </c>
    </row>
    <row r="327" spans="2:14" ht="20.100000000000001" customHeight="1">
      <c r="B327" s="85" t="s">
        <v>617</v>
      </c>
      <c r="C327" s="85" t="s">
        <v>618</v>
      </c>
      <c r="D327" s="86"/>
      <c r="E327" s="86"/>
      <c r="F327" s="86"/>
      <c r="G327" s="86"/>
      <c r="H327" s="87"/>
      <c r="I327" s="86"/>
      <c r="J327" s="86">
        <v>0</v>
      </c>
      <c r="K327" s="86">
        <v>0</v>
      </c>
      <c r="L327" s="86">
        <v>0</v>
      </c>
      <c r="M327" s="86">
        <v>0</v>
      </c>
      <c r="N327" s="87">
        <f t="shared" si="53"/>
        <v>0</v>
      </c>
    </row>
    <row r="328" spans="2:14" ht="20.100000000000001" customHeight="1">
      <c r="B328" s="85" t="s">
        <v>617</v>
      </c>
      <c r="C328" s="85" t="s">
        <v>619</v>
      </c>
      <c r="D328" s="86"/>
      <c r="E328" s="86"/>
      <c r="F328" s="86"/>
      <c r="G328" s="86"/>
      <c r="H328" s="87"/>
      <c r="I328" s="86"/>
      <c r="J328" s="86">
        <v>0</v>
      </c>
      <c r="K328" s="86">
        <v>0</v>
      </c>
      <c r="L328" s="86">
        <v>0</v>
      </c>
      <c r="M328" s="86">
        <v>0</v>
      </c>
      <c r="N328" s="87">
        <f t="shared" si="53"/>
        <v>0</v>
      </c>
    </row>
    <row r="329" spans="2:14" ht="20.100000000000001" customHeight="1">
      <c r="B329" s="85" t="s">
        <v>620</v>
      </c>
      <c r="C329" s="85" t="s">
        <v>1118</v>
      </c>
      <c r="D329" s="86"/>
      <c r="E329" s="86"/>
      <c r="F329" s="86"/>
      <c r="G329" s="86"/>
      <c r="H329" s="87"/>
      <c r="I329" s="86"/>
      <c r="J329" s="86">
        <v>0</v>
      </c>
      <c r="K329" s="86">
        <v>0</v>
      </c>
      <c r="L329" s="86">
        <v>0</v>
      </c>
      <c r="M329" s="86">
        <v>0</v>
      </c>
      <c r="N329" s="87">
        <f t="shared" si="53"/>
        <v>0</v>
      </c>
    </row>
    <row r="330" spans="2:14" ht="20.100000000000001" customHeight="1">
      <c r="B330" s="85" t="s">
        <v>405</v>
      </c>
      <c r="C330" s="85" t="s">
        <v>406</v>
      </c>
      <c r="D330" s="86"/>
      <c r="E330" s="86"/>
      <c r="F330" s="86"/>
      <c r="G330" s="86"/>
      <c r="H330" s="87"/>
      <c r="I330" s="86"/>
      <c r="J330" s="86">
        <v>0</v>
      </c>
      <c r="K330" s="86">
        <v>0</v>
      </c>
      <c r="L330" s="86">
        <v>0</v>
      </c>
      <c r="M330" s="86">
        <v>0</v>
      </c>
      <c r="N330" s="87">
        <f t="shared" si="53"/>
        <v>0</v>
      </c>
    </row>
    <row r="331" spans="2:14" ht="20.100000000000001" customHeight="1">
      <c r="B331" s="85" t="s">
        <v>405</v>
      </c>
      <c r="C331" s="85" t="s">
        <v>626</v>
      </c>
      <c r="D331" s="86"/>
      <c r="E331" s="86"/>
      <c r="F331" s="86"/>
      <c r="G331" s="86"/>
      <c r="H331" s="87"/>
      <c r="I331" s="86"/>
      <c r="J331" s="86">
        <v>0</v>
      </c>
      <c r="K331" s="86">
        <v>0</v>
      </c>
      <c r="L331" s="86">
        <v>0</v>
      </c>
      <c r="M331" s="86">
        <v>0</v>
      </c>
      <c r="N331" s="87">
        <f t="shared" si="53"/>
        <v>0</v>
      </c>
    </row>
    <row r="332" spans="2:14" ht="20.100000000000001" customHeight="1">
      <c r="B332" s="85" t="s">
        <v>261</v>
      </c>
      <c r="C332" s="85" t="s">
        <v>262</v>
      </c>
      <c r="D332" s="86"/>
      <c r="E332" s="86"/>
      <c r="F332" s="86"/>
      <c r="G332" s="86"/>
      <c r="H332" s="87"/>
      <c r="I332" s="86"/>
      <c r="J332" s="86">
        <v>0</v>
      </c>
      <c r="K332" s="86">
        <v>0</v>
      </c>
      <c r="L332" s="86">
        <v>0</v>
      </c>
      <c r="M332" s="86">
        <v>0</v>
      </c>
      <c r="N332" s="87">
        <f t="shared" si="53"/>
        <v>0</v>
      </c>
    </row>
    <row r="333" spans="2:14" ht="20.100000000000001" customHeight="1">
      <c r="B333" s="85" t="s">
        <v>261</v>
      </c>
      <c r="C333" s="85" t="s">
        <v>1170</v>
      </c>
      <c r="D333" s="86"/>
      <c r="E333" s="86"/>
      <c r="F333" s="86"/>
      <c r="G333" s="86"/>
      <c r="H333" s="87"/>
      <c r="I333" s="86"/>
      <c r="J333" s="86">
        <v>0</v>
      </c>
      <c r="K333" s="86">
        <v>0</v>
      </c>
      <c r="L333" s="86">
        <v>0</v>
      </c>
      <c r="M333" s="86">
        <v>0</v>
      </c>
      <c r="N333" s="87">
        <f t="shared" si="53"/>
        <v>0</v>
      </c>
    </row>
    <row r="334" spans="2:14" ht="20.100000000000001" customHeight="1">
      <c r="B334" s="85" t="s">
        <v>622</v>
      </c>
      <c r="C334" s="85" t="s">
        <v>684</v>
      </c>
      <c r="D334" s="86"/>
      <c r="E334" s="86"/>
      <c r="F334" s="86"/>
      <c r="G334" s="86"/>
      <c r="H334" s="87"/>
      <c r="I334" s="86"/>
      <c r="J334" s="86">
        <v>0</v>
      </c>
      <c r="K334" s="86">
        <v>0</v>
      </c>
      <c r="L334" s="86">
        <v>0</v>
      </c>
      <c r="M334" s="86">
        <v>0</v>
      </c>
      <c r="N334" s="87">
        <f t="shared" si="53"/>
        <v>0</v>
      </c>
    </row>
    <row r="335" spans="2:14" ht="20.100000000000001" customHeight="1">
      <c r="B335" s="85" t="s">
        <v>622</v>
      </c>
      <c r="C335" s="85" t="s">
        <v>623</v>
      </c>
      <c r="D335" s="86"/>
      <c r="E335" s="86"/>
      <c r="F335" s="86"/>
      <c r="G335" s="86"/>
      <c r="H335" s="87"/>
      <c r="I335" s="86"/>
      <c r="J335" s="86">
        <v>0</v>
      </c>
      <c r="K335" s="86">
        <v>0</v>
      </c>
      <c r="L335" s="86">
        <v>0</v>
      </c>
      <c r="M335" s="86">
        <v>0</v>
      </c>
      <c r="N335" s="87">
        <f t="shared" si="53"/>
        <v>0</v>
      </c>
    </row>
    <row r="336" spans="2:14" ht="20.100000000000001" customHeight="1">
      <c r="B336" s="85" t="s">
        <v>624</v>
      </c>
      <c r="C336" s="85" t="s">
        <v>625</v>
      </c>
      <c r="D336" s="86"/>
      <c r="E336" s="86"/>
      <c r="F336" s="86"/>
      <c r="G336" s="86"/>
      <c r="H336" s="87"/>
      <c r="I336" s="86"/>
      <c r="J336" s="86">
        <v>0</v>
      </c>
      <c r="K336" s="86">
        <v>0</v>
      </c>
      <c r="L336" s="86">
        <v>0</v>
      </c>
      <c r="M336" s="86">
        <v>0</v>
      </c>
      <c r="N336" s="87">
        <f t="shared" si="53"/>
        <v>0</v>
      </c>
    </row>
    <row r="337" spans="2:14" ht="20.100000000000001" customHeight="1">
      <c r="B337" s="85" t="s">
        <v>407</v>
      </c>
      <c r="C337" s="85" t="s">
        <v>408</v>
      </c>
      <c r="D337" s="86"/>
      <c r="E337" s="86"/>
      <c r="F337" s="86"/>
      <c r="G337" s="86"/>
      <c r="H337" s="87"/>
      <c r="I337" s="86"/>
      <c r="J337" s="86">
        <v>0</v>
      </c>
      <c r="K337" s="86">
        <v>0</v>
      </c>
      <c r="L337" s="86">
        <v>0</v>
      </c>
      <c r="M337" s="86">
        <v>0</v>
      </c>
      <c r="N337" s="87">
        <f t="shared" si="53"/>
        <v>0</v>
      </c>
    </row>
    <row r="338" spans="2:14" ht="20.100000000000001" customHeight="1">
      <c r="B338" s="85" t="s">
        <v>409</v>
      </c>
      <c r="C338" s="85" t="s">
        <v>410</v>
      </c>
      <c r="D338" s="86"/>
      <c r="E338" s="86"/>
      <c r="F338" s="86"/>
      <c r="G338" s="86"/>
      <c r="H338" s="87"/>
      <c r="I338" s="86"/>
      <c r="J338" s="86">
        <v>0</v>
      </c>
      <c r="K338" s="86">
        <v>0</v>
      </c>
      <c r="L338" s="86">
        <v>0</v>
      </c>
      <c r="M338" s="86">
        <v>0</v>
      </c>
      <c r="N338" s="87">
        <f t="shared" si="53"/>
        <v>0</v>
      </c>
    </row>
    <row r="339" spans="2:14" ht="20.100000000000001" customHeight="1">
      <c r="B339" s="85" t="s">
        <v>409</v>
      </c>
      <c r="C339" s="85" t="s">
        <v>627</v>
      </c>
      <c r="D339" s="86"/>
      <c r="E339" s="86"/>
      <c r="F339" s="86"/>
      <c r="G339" s="86"/>
      <c r="H339" s="87"/>
      <c r="I339" s="86"/>
      <c r="J339" s="86">
        <v>0</v>
      </c>
      <c r="K339" s="86">
        <v>0</v>
      </c>
      <c r="L339" s="86">
        <v>0</v>
      </c>
      <c r="M339" s="86">
        <v>0</v>
      </c>
      <c r="N339" s="87">
        <f t="shared" si="53"/>
        <v>0</v>
      </c>
    </row>
    <row r="340" spans="2:14" ht="20.100000000000001" customHeight="1">
      <c r="B340" s="85" t="s">
        <v>412</v>
      </c>
      <c r="C340" s="85" t="s">
        <v>411</v>
      </c>
      <c r="D340" s="86"/>
      <c r="E340" s="86"/>
      <c r="F340" s="86"/>
      <c r="G340" s="86"/>
      <c r="H340" s="87"/>
      <c r="I340" s="86"/>
      <c r="J340" s="86">
        <v>0</v>
      </c>
      <c r="K340" s="86">
        <v>0</v>
      </c>
      <c r="L340" s="86">
        <v>0</v>
      </c>
      <c r="M340" s="86">
        <v>0</v>
      </c>
      <c r="N340" s="87">
        <f t="shared" si="53"/>
        <v>0</v>
      </c>
    </row>
    <row r="341" spans="2:14" ht="20.100000000000001" customHeight="1">
      <c r="B341" s="85" t="s">
        <v>413</v>
      </c>
      <c r="C341" s="85" t="s">
        <v>414</v>
      </c>
      <c r="D341" s="86"/>
      <c r="E341" s="86"/>
      <c r="F341" s="86"/>
      <c r="G341" s="86"/>
      <c r="H341" s="87"/>
      <c r="I341" s="86"/>
      <c r="J341" s="86">
        <v>0</v>
      </c>
      <c r="K341" s="86">
        <v>0</v>
      </c>
      <c r="L341" s="86">
        <v>0</v>
      </c>
      <c r="M341" s="86">
        <v>0</v>
      </c>
      <c r="N341" s="87">
        <f t="shared" si="53"/>
        <v>0</v>
      </c>
    </row>
    <row r="342" spans="2:14" ht="20.100000000000001" customHeight="1">
      <c r="B342" s="85" t="s">
        <v>413</v>
      </c>
      <c r="C342" s="85" t="s">
        <v>629</v>
      </c>
      <c r="D342" s="86"/>
      <c r="E342" s="86"/>
      <c r="F342" s="86"/>
      <c r="G342" s="86"/>
      <c r="H342" s="87"/>
      <c r="I342" s="86"/>
      <c r="J342" s="86">
        <v>0</v>
      </c>
      <c r="K342" s="86">
        <v>0</v>
      </c>
      <c r="L342" s="86">
        <v>0</v>
      </c>
      <c r="M342" s="86">
        <v>0</v>
      </c>
      <c r="N342" s="87">
        <f t="shared" si="53"/>
        <v>0</v>
      </c>
    </row>
    <row r="343" spans="2:14" ht="20.100000000000001" customHeight="1">
      <c r="B343" s="85" t="s">
        <v>418</v>
      </c>
      <c r="C343" s="85" t="s">
        <v>415</v>
      </c>
      <c r="D343" s="86"/>
      <c r="E343" s="86"/>
      <c r="F343" s="86"/>
      <c r="G343" s="86"/>
      <c r="H343" s="87"/>
      <c r="I343" s="86"/>
      <c r="J343" s="86">
        <v>0</v>
      </c>
      <c r="K343" s="86">
        <v>0</v>
      </c>
      <c r="L343" s="86">
        <v>0</v>
      </c>
      <c r="M343" s="86">
        <v>0</v>
      </c>
      <c r="N343" s="87">
        <f t="shared" si="53"/>
        <v>0</v>
      </c>
    </row>
    <row r="344" spans="2:14" ht="20.100000000000001" customHeight="1">
      <c r="B344" s="85" t="s">
        <v>419</v>
      </c>
      <c r="C344" s="85" t="s">
        <v>630</v>
      </c>
      <c r="D344" s="86"/>
      <c r="E344" s="86"/>
      <c r="F344" s="86"/>
      <c r="G344" s="86"/>
      <c r="H344" s="87"/>
      <c r="I344" s="86"/>
      <c r="J344" s="86">
        <v>0</v>
      </c>
      <c r="K344" s="86">
        <v>0</v>
      </c>
      <c r="L344" s="86">
        <v>0</v>
      </c>
      <c r="M344" s="86">
        <v>0</v>
      </c>
      <c r="N344" s="87">
        <f t="shared" si="53"/>
        <v>0</v>
      </c>
    </row>
    <row r="345" spans="2:14" ht="20.100000000000001" customHeight="1">
      <c r="B345" s="85" t="s">
        <v>419</v>
      </c>
      <c r="C345" s="85" t="s">
        <v>420</v>
      </c>
      <c r="D345" s="86"/>
      <c r="E345" s="86"/>
      <c r="F345" s="86"/>
      <c r="G345" s="86"/>
      <c r="H345" s="87"/>
      <c r="I345" s="86"/>
      <c r="J345" s="86">
        <v>0</v>
      </c>
      <c r="K345" s="86">
        <v>0</v>
      </c>
      <c r="L345" s="86">
        <v>0</v>
      </c>
      <c r="M345" s="86">
        <v>0</v>
      </c>
      <c r="N345" s="87">
        <f t="shared" si="53"/>
        <v>0</v>
      </c>
    </row>
    <row r="346" spans="2:14" ht="20.100000000000001" customHeight="1">
      <c r="B346" s="85" t="s">
        <v>421</v>
      </c>
      <c r="C346" s="85" t="s">
        <v>422</v>
      </c>
      <c r="D346" s="86"/>
      <c r="E346" s="86"/>
      <c r="F346" s="86"/>
      <c r="G346" s="86"/>
      <c r="H346" s="87"/>
      <c r="I346" s="86"/>
      <c r="J346" s="86">
        <v>0</v>
      </c>
      <c r="K346" s="86">
        <v>0</v>
      </c>
      <c r="L346" s="86">
        <v>0</v>
      </c>
      <c r="M346" s="86">
        <v>0</v>
      </c>
      <c r="N346" s="87">
        <f t="shared" si="53"/>
        <v>0</v>
      </c>
    </row>
    <row r="347" spans="2:14" ht="20.100000000000001" customHeight="1">
      <c r="B347" s="85" t="s">
        <v>421</v>
      </c>
      <c r="C347" s="85" t="s">
        <v>631</v>
      </c>
      <c r="D347" s="86"/>
      <c r="E347" s="86"/>
      <c r="F347" s="86"/>
      <c r="G347" s="86"/>
      <c r="H347" s="87"/>
      <c r="I347" s="86"/>
      <c r="J347" s="86">
        <v>0</v>
      </c>
      <c r="K347" s="86">
        <v>0</v>
      </c>
      <c r="L347" s="86">
        <v>0</v>
      </c>
      <c r="M347" s="86">
        <v>0</v>
      </c>
      <c r="N347" s="87">
        <f t="shared" si="53"/>
        <v>0</v>
      </c>
    </row>
    <row r="348" spans="2:14" ht="20.100000000000001" customHeight="1">
      <c r="B348" s="85" t="s">
        <v>867</v>
      </c>
      <c r="C348" s="85" t="s">
        <v>868</v>
      </c>
      <c r="D348" s="86"/>
      <c r="E348" s="86"/>
      <c r="F348" s="86"/>
      <c r="G348" s="86"/>
      <c r="H348" s="87"/>
      <c r="I348" s="86"/>
      <c r="J348" s="86">
        <v>0</v>
      </c>
      <c r="K348" s="86">
        <v>0</v>
      </c>
      <c r="L348" s="86">
        <v>0</v>
      </c>
      <c r="M348" s="86">
        <v>0</v>
      </c>
      <c r="N348" s="87">
        <f t="shared" si="53"/>
        <v>0</v>
      </c>
    </row>
    <row r="349" spans="2:14" ht="20.100000000000001" customHeight="1">
      <c r="B349" s="85" t="s">
        <v>958</v>
      </c>
      <c r="C349" s="85" t="s">
        <v>959</v>
      </c>
      <c r="D349" s="86"/>
      <c r="E349" s="86"/>
      <c r="F349" s="86"/>
      <c r="G349" s="86"/>
      <c r="H349" s="87"/>
      <c r="I349" s="86"/>
      <c r="J349" s="86">
        <v>0</v>
      </c>
      <c r="K349" s="86">
        <v>0</v>
      </c>
      <c r="L349" s="86">
        <v>0</v>
      </c>
      <c r="M349" s="86">
        <v>0</v>
      </c>
      <c r="N349" s="87">
        <f t="shared" si="53"/>
        <v>0</v>
      </c>
    </row>
    <row r="350" spans="2:14" ht="20.100000000000001" customHeight="1">
      <c r="B350" s="85" t="s">
        <v>960</v>
      </c>
      <c r="C350" s="85" t="s">
        <v>961</v>
      </c>
      <c r="D350" s="86"/>
      <c r="E350" s="86"/>
      <c r="F350" s="86"/>
      <c r="G350" s="86"/>
      <c r="H350" s="87"/>
      <c r="I350" s="86"/>
      <c r="J350" s="86">
        <v>0</v>
      </c>
      <c r="K350" s="86">
        <v>0</v>
      </c>
      <c r="L350" s="86">
        <v>0</v>
      </c>
      <c r="M350" s="86">
        <v>0</v>
      </c>
      <c r="N350" s="87">
        <f t="shared" si="53"/>
        <v>0</v>
      </c>
    </row>
    <row r="351" spans="2:14" ht="20.100000000000001" customHeight="1">
      <c r="B351" s="85" t="s">
        <v>994</v>
      </c>
      <c r="C351" s="85" t="s">
        <v>995</v>
      </c>
      <c r="D351" s="86"/>
      <c r="E351" s="86"/>
      <c r="F351" s="86"/>
      <c r="G351" s="86"/>
      <c r="H351" s="87"/>
      <c r="I351" s="86"/>
      <c r="J351" s="86">
        <v>0</v>
      </c>
      <c r="K351" s="86">
        <v>0</v>
      </c>
      <c r="L351" s="86">
        <v>0</v>
      </c>
      <c r="M351" s="86">
        <v>0</v>
      </c>
      <c r="N351" s="87">
        <f t="shared" ref="N351:N387" si="55">M351+L351+K351+J351</f>
        <v>0</v>
      </c>
    </row>
    <row r="352" spans="2:14" ht="20.100000000000001" customHeight="1">
      <c r="B352" s="85" t="s">
        <v>996</v>
      </c>
      <c r="C352" s="85" t="s">
        <v>997</v>
      </c>
      <c r="D352" s="86"/>
      <c r="E352" s="86"/>
      <c r="F352" s="86"/>
      <c r="G352" s="86"/>
      <c r="H352" s="87"/>
      <c r="I352" s="86"/>
      <c r="J352" s="86">
        <v>0</v>
      </c>
      <c r="K352" s="86">
        <v>0</v>
      </c>
      <c r="L352" s="86">
        <v>0</v>
      </c>
      <c r="M352" s="86">
        <v>0</v>
      </c>
      <c r="N352" s="87">
        <f t="shared" si="55"/>
        <v>0</v>
      </c>
    </row>
    <row r="353" spans="2:14" ht="20.100000000000001" customHeight="1">
      <c r="B353" s="85" t="s">
        <v>1001</v>
      </c>
      <c r="C353" s="85" t="s">
        <v>1002</v>
      </c>
      <c r="D353" s="86"/>
      <c r="E353" s="86"/>
      <c r="F353" s="86"/>
      <c r="G353" s="86"/>
      <c r="H353" s="87"/>
      <c r="I353" s="86"/>
      <c r="J353" s="86">
        <v>0</v>
      </c>
      <c r="K353" s="86">
        <v>0</v>
      </c>
      <c r="L353" s="86">
        <v>0</v>
      </c>
      <c r="M353" s="86">
        <v>0</v>
      </c>
      <c r="N353" s="87">
        <f t="shared" si="55"/>
        <v>0</v>
      </c>
    </row>
    <row r="354" spans="2:14" ht="20.100000000000001" customHeight="1">
      <c r="B354" s="85" t="s">
        <v>1022</v>
      </c>
      <c r="C354" s="85" t="s">
        <v>1023</v>
      </c>
      <c r="D354" s="86"/>
      <c r="E354" s="86"/>
      <c r="F354" s="86"/>
      <c r="G354" s="86"/>
      <c r="H354" s="87"/>
      <c r="I354" s="86"/>
      <c r="J354" s="86">
        <v>0</v>
      </c>
      <c r="K354" s="86">
        <v>0</v>
      </c>
      <c r="L354" s="86">
        <v>0</v>
      </c>
      <c r="M354" s="86">
        <v>0</v>
      </c>
      <c r="N354" s="87">
        <f t="shared" si="55"/>
        <v>0</v>
      </c>
    </row>
    <row r="355" spans="2:14" ht="20.100000000000001" customHeight="1">
      <c r="B355" s="85" t="s">
        <v>1024</v>
      </c>
      <c r="C355" s="85" t="s">
        <v>1200</v>
      </c>
      <c r="D355" s="86"/>
      <c r="E355" s="86"/>
      <c r="F355" s="86"/>
      <c r="G355" s="86"/>
      <c r="H355" s="87"/>
      <c r="I355" s="86"/>
      <c r="J355" s="86">
        <v>0</v>
      </c>
      <c r="K355" s="86">
        <v>0</v>
      </c>
      <c r="L355" s="86">
        <v>0</v>
      </c>
      <c r="M355" s="86">
        <v>0</v>
      </c>
      <c r="N355" s="87">
        <f t="shared" si="55"/>
        <v>0</v>
      </c>
    </row>
    <row r="356" spans="2:14" ht="20.100000000000001" customHeight="1">
      <c r="B356" s="85" t="s">
        <v>1024</v>
      </c>
      <c r="C356" s="85" t="s">
        <v>1025</v>
      </c>
      <c r="D356" s="86"/>
      <c r="E356" s="86"/>
      <c r="F356" s="86"/>
      <c r="G356" s="86"/>
      <c r="H356" s="87"/>
      <c r="I356" s="86"/>
      <c r="J356" s="86">
        <v>0</v>
      </c>
      <c r="K356" s="86">
        <v>0</v>
      </c>
      <c r="L356" s="86">
        <v>0</v>
      </c>
      <c r="M356" s="86">
        <v>0</v>
      </c>
      <c r="N356" s="87">
        <f t="shared" ref="N356" si="56">M356+L356+K356+J356</f>
        <v>0</v>
      </c>
    </row>
    <row r="357" spans="2:14" ht="20.100000000000001" customHeight="1">
      <c r="B357" s="85" t="s">
        <v>1026</v>
      </c>
      <c r="C357" s="85" t="s">
        <v>1027</v>
      </c>
      <c r="D357" s="86"/>
      <c r="E357" s="86"/>
      <c r="F357" s="86"/>
      <c r="G357" s="86"/>
      <c r="H357" s="87"/>
      <c r="I357" s="86"/>
      <c r="J357" s="86">
        <v>0</v>
      </c>
      <c r="K357" s="86">
        <v>0</v>
      </c>
      <c r="L357" s="86">
        <v>0</v>
      </c>
      <c r="M357" s="86">
        <v>0</v>
      </c>
      <c r="N357" s="87">
        <f t="shared" si="55"/>
        <v>0</v>
      </c>
    </row>
    <row r="358" spans="2:14" ht="20.100000000000001" customHeight="1">
      <c r="B358" s="85" t="s">
        <v>1204</v>
      </c>
      <c r="C358" s="85" t="s">
        <v>1205</v>
      </c>
      <c r="D358" s="86"/>
      <c r="E358" s="86"/>
      <c r="F358" s="86"/>
      <c r="G358" s="86"/>
      <c r="H358" s="87"/>
      <c r="I358" s="86"/>
      <c r="J358" s="86">
        <v>0</v>
      </c>
      <c r="K358" s="86">
        <v>0</v>
      </c>
      <c r="L358" s="86">
        <v>0</v>
      </c>
      <c r="M358" s="86">
        <v>0</v>
      </c>
      <c r="N358" s="87">
        <f t="shared" ref="N358" si="57">M358+L358+K358+J358</f>
        <v>0</v>
      </c>
    </row>
    <row r="359" spans="2:14" ht="20.100000000000001" customHeight="1">
      <c r="B359" s="85" t="s">
        <v>429</v>
      </c>
      <c r="C359" s="85" t="s">
        <v>263</v>
      </c>
      <c r="D359" s="86"/>
      <c r="E359" s="86"/>
      <c r="F359" s="86"/>
      <c r="G359" s="86"/>
      <c r="H359" s="87"/>
      <c r="I359" s="86"/>
      <c r="J359" s="86">
        <v>0</v>
      </c>
      <c r="K359" s="86">
        <v>0</v>
      </c>
      <c r="L359" s="86">
        <v>0</v>
      </c>
      <c r="M359" s="86">
        <v>0</v>
      </c>
      <c r="N359" s="87">
        <f t="shared" si="55"/>
        <v>0</v>
      </c>
    </row>
    <row r="360" spans="2:14" ht="20.100000000000001" customHeight="1">
      <c r="B360" s="85" t="s">
        <v>428</v>
      </c>
      <c r="C360" s="85" t="s">
        <v>784</v>
      </c>
      <c r="D360" s="86"/>
      <c r="E360" s="86"/>
      <c r="F360" s="86"/>
      <c r="G360" s="86"/>
      <c r="H360" s="87"/>
      <c r="I360" s="86"/>
      <c r="J360" s="86">
        <v>0</v>
      </c>
      <c r="K360" s="86">
        <v>0</v>
      </c>
      <c r="L360" s="86">
        <v>0</v>
      </c>
      <c r="M360" s="86">
        <v>0</v>
      </c>
      <c r="N360" s="87">
        <f t="shared" si="55"/>
        <v>0</v>
      </c>
    </row>
    <row r="361" spans="2:14" ht="20.100000000000001" customHeight="1">
      <c r="B361" s="85" t="s">
        <v>709</v>
      </c>
      <c r="C361" s="85" t="s">
        <v>710</v>
      </c>
      <c r="D361" s="86"/>
      <c r="E361" s="86"/>
      <c r="F361" s="86"/>
      <c r="G361" s="86"/>
      <c r="H361" s="87"/>
      <c r="I361" s="86"/>
      <c r="J361" s="86">
        <v>0</v>
      </c>
      <c r="K361" s="86">
        <v>0</v>
      </c>
      <c r="L361" s="86">
        <v>0</v>
      </c>
      <c r="M361" s="86">
        <v>0</v>
      </c>
      <c r="N361" s="87">
        <f t="shared" si="55"/>
        <v>0</v>
      </c>
    </row>
    <row r="362" spans="2:14" ht="20.100000000000001" customHeight="1">
      <c r="B362" s="85" t="s">
        <v>264</v>
      </c>
      <c r="C362" s="85" t="s">
        <v>265</v>
      </c>
      <c r="D362" s="86"/>
      <c r="E362" s="86"/>
      <c r="F362" s="86"/>
      <c r="G362" s="86"/>
      <c r="H362" s="87"/>
      <c r="I362" s="86"/>
      <c r="J362" s="86">
        <v>0</v>
      </c>
      <c r="K362" s="86">
        <v>0</v>
      </c>
      <c r="L362" s="86">
        <v>0</v>
      </c>
      <c r="M362" s="86">
        <v>0</v>
      </c>
      <c r="N362" s="87">
        <f t="shared" si="55"/>
        <v>0</v>
      </c>
    </row>
    <row r="363" spans="2:14" ht="20.100000000000001" customHeight="1">
      <c r="B363" s="85" t="s">
        <v>264</v>
      </c>
      <c r="C363" s="85" t="s">
        <v>1201</v>
      </c>
      <c r="D363" s="86"/>
      <c r="E363" s="86"/>
      <c r="F363" s="86"/>
      <c r="G363" s="86"/>
      <c r="H363" s="87"/>
      <c r="I363" s="86"/>
      <c r="J363" s="86">
        <v>0</v>
      </c>
      <c r="K363" s="86">
        <v>0</v>
      </c>
      <c r="L363" s="86">
        <v>0</v>
      </c>
      <c r="M363" s="86">
        <v>0</v>
      </c>
      <c r="N363" s="87">
        <f t="shared" ref="N363" si="58">M363+L363+K363+J363</f>
        <v>0</v>
      </c>
    </row>
    <row r="364" spans="2:14" ht="20.100000000000001" customHeight="1">
      <c r="B364" s="85" t="s">
        <v>652</v>
      </c>
      <c r="C364" s="85" t="s">
        <v>711</v>
      </c>
      <c r="D364" s="86"/>
      <c r="E364" s="86"/>
      <c r="F364" s="86"/>
      <c r="G364" s="86"/>
      <c r="H364" s="87"/>
      <c r="I364" s="86"/>
      <c r="J364" s="86">
        <v>0</v>
      </c>
      <c r="K364" s="86">
        <v>0</v>
      </c>
      <c r="L364" s="86">
        <v>0</v>
      </c>
      <c r="M364" s="86">
        <v>0</v>
      </c>
      <c r="N364" s="87">
        <f t="shared" si="55"/>
        <v>0</v>
      </c>
    </row>
    <row r="365" spans="2:14" ht="20.100000000000001" customHeight="1">
      <c r="B365" s="85" t="s">
        <v>652</v>
      </c>
      <c r="C365" s="85" t="s">
        <v>653</v>
      </c>
      <c r="D365" s="86"/>
      <c r="E365" s="86"/>
      <c r="F365" s="86"/>
      <c r="G365" s="86"/>
      <c r="H365" s="87"/>
      <c r="I365" s="86"/>
      <c r="J365" s="86">
        <v>0</v>
      </c>
      <c r="K365" s="86">
        <v>0</v>
      </c>
      <c r="L365" s="86">
        <v>0</v>
      </c>
      <c r="M365" s="86">
        <v>0</v>
      </c>
      <c r="N365" s="87">
        <f t="shared" si="55"/>
        <v>0</v>
      </c>
    </row>
    <row r="366" spans="2:14" ht="20.100000000000001" customHeight="1">
      <c r="B366" s="85" t="s">
        <v>652</v>
      </c>
      <c r="C366" s="85" t="s">
        <v>654</v>
      </c>
      <c r="D366" s="86"/>
      <c r="E366" s="86"/>
      <c r="F366" s="86"/>
      <c r="G366" s="86"/>
      <c r="H366" s="87"/>
      <c r="I366" s="86"/>
      <c r="J366" s="86">
        <v>0</v>
      </c>
      <c r="K366" s="86">
        <v>0</v>
      </c>
      <c r="L366" s="86">
        <v>0</v>
      </c>
      <c r="M366" s="86">
        <v>0</v>
      </c>
      <c r="N366" s="87">
        <f t="shared" si="55"/>
        <v>0</v>
      </c>
    </row>
    <row r="367" spans="2:14" ht="20.100000000000001" customHeight="1">
      <c r="B367" s="85" t="s">
        <v>652</v>
      </c>
      <c r="C367" s="85" t="s">
        <v>1172</v>
      </c>
      <c r="D367" s="86"/>
      <c r="E367" s="86"/>
      <c r="F367" s="86"/>
      <c r="G367" s="86"/>
      <c r="H367" s="87"/>
      <c r="I367" s="86"/>
      <c r="J367" s="86">
        <v>0</v>
      </c>
      <c r="K367" s="86">
        <v>0</v>
      </c>
      <c r="L367" s="86">
        <v>0</v>
      </c>
      <c r="M367" s="86">
        <v>0</v>
      </c>
      <c r="N367" s="87">
        <f t="shared" ref="N367" si="59">M367+L367+K367+J367</f>
        <v>0</v>
      </c>
    </row>
    <row r="368" spans="2:14" ht="20.100000000000001" customHeight="1">
      <c r="B368" s="85" t="s">
        <v>646</v>
      </c>
      <c r="C368" s="85" t="s">
        <v>647</v>
      </c>
      <c r="D368" s="86"/>
      <c r="E368" s="86"/>
      <c r="F368" s="86"/>
      <c r="G368" s="86"/>
      <c r="H368" s="87"/>
      <c r="I368" s="86"/>
      <c r="J368" s="86">
        <v>0</v>
      </c>
      <c r="K368" s="86">
        <v>0</v>
      </c>
      <c r="L368" s="86">
        <v>0</v>
      </c>
      <c r="M368" s="86">
        <v>0</v>
      </c>
      <c r="N368" s="87">
        <f t="shared" si="55"/>
        <v>0</v>
      </c>
    </row>
    <row r="369" spans="2:14" ht="20.100000000000001" customHeight="1">
      <c r="B369" s="85" t="s">
        <v>648</v>
      </c>
      <c r="C369" s="85" t="s">
        <v>649</v>
      </c>
      <c r="D369" s="86"/>
      <c r="E369" s="86"/>
      <c r="F369" s="86"/>
      <c r="G369" s="86"/>
      <c r="H369" s="87"/>
      <c r="I369" s="86"/>
      <c r="J369" s="86">
        <v>0</v>
      </c>
      <c r="K369" s="86">
        <v>0</v>
      </c>
      <c r="L369" s="86">
        <v>0</v>
      </c>
      <c r="M369" s="86">
        <v>0</v>
      </c>
      <c r="N369" s="87">
        <f t="shared" si="55"/>
        <v>0</v>
      </c>
    </row>
    <row r="370" spans="2:14" ht="20.100000000000001" customHeight="1">
      <c r="B370" s="85" t="s">
        <v>650</v>
      </c>
      <c r="C370" s="85" t="s">
        <v>651</v>
      </c>
      <c r="D370" s="86"/>
      <c r="E370" s="86"/>
      <c r="F370" s="86"/>
      <c r="G370" s="86"/>
      <c r="H370" s="87"/>
      <c r="I370" s="86"/>
      <c r="J370" s="86">
        <v>0</v>
      </c>
      <c r="K370" s="86">
        <v>0</v>
      </c>
      <c r="L370" s="86">
        <v>0</v>
      </c>
      <c r="M370" s="86">
        <v>0</v>
      </c>
      <c r="N370" s="87">
        <f t="shared" si="55"/>
        <v>0</v>
      </c>
    </row>
    <row r="371" spans="2:14" ht="20.100000000000001" customHeight="1">
      <c r="B371" s="85" t="s">
        <v>268</v>
      </c>
      <c r="C371" s="85" t="s">
        <v>269</v>
      </c>
      <c r="D371" s="86"/>
      <c r="E371" s="86"/>
      <c r="F371" s="86"/>
      <c r="G371" s="86"/>
      <c r="H371" s="87"/>
      <c r="I371" s="86"/>
      <c r="J371" s="86">
        <v>0</v>
      </c>
      <c r="K371" s="86">
        <v>0</v>
      </c>
      <c r="L371" s="86">
        <v>0</v>
      </c>
      <c r="M371" s="86">
        <v>0</v>
      </c>
      <c r="N371" s="87">
        <f t="shared" si="55"/>
        <v>0</v>
      </c>
    </row>
    <row r="372" spans="2:14" ht="20.100000000000001" customHeight="1">
      <c r="B372" s="85" t="s">
        <v>268</v>
      </c>
      <c r="C372" s="85" t="s">
        <v>1005</v>
      </c>
      <c r="D372" s="86"/>
      <c r="E372" s="86"/>
      <c r="F372" s="86"/>
      <c r="G372" s="86"/>
      <c r="H372" s="87"/>
      <c r="I372" s="86"/>
      <c r="J372" s="86">
        <v>0</v>
      </c>
      <c r="K372" s="86">
        <v>0</v>
      </c>
      <c r="L372" s="86">
        <v>0</v>
      </c>
      <c r="M372" s="86">
        <v>0</v>
      </c>
      <c r="N372" s="87">
        <f t="shared" si="55"/>
        <v>0</v>
      </c>
    </row>
    <row r="373" spans="2:14" ht="20.100000000000001" customHeight="1">
      <c r="B373" s="85" t="s">
        <v>268</v>
      </c>
      <c r="C373" s="85" t="s">
        <v>1065</v>
      </c>
      <c r="D373" s="86"/>
      <c r="E373" s="86"/>
      <c r="F373" s="86"/>
      <c r="G373" s="86"/>
      <c r="H373" s="87"/>
      <c r="I373" s="86"/>
      <c r="J373" s="86">
        <v>0</v>
      </c>
      <c r="K373" s="86">
        <v>0</v>
      </c>
      <c r="L373" s="86">
        <v>0</v>
      </c>
      <c r="M373" s="86">
        <v>0</v>
      </c>
      <c r="N373" s="87">
        <f t="shared" si="55"/>
        <v>0</v>
      </c>
    </row>
    <row r="374" spans="2:14" ht="20.100000000000001" customHeight="1">
      <c r="B374" s="85" t="s">
        <v>270</v>
      </c>
      <c r="C374" s="85" t="s">
        <v>271</v>
      </c>
      <c r="D374" s="86"/>
      <c r="E374" s="86"/>
      <c r="F374" s="86"/>
      <c r="G374" s="86"/>
      <c r="H374" s="87"/>
      <c r="I374" s="86"/>
      <c r="J374" s="86">
        <v>0</v>
      </c>
      <c r="K374" s="86">
        <v>0</v>
      </c>
      <c r="L374" s="86">
        <v>0</v>
      </c>
      <c r="M374" s="86">
        <v>0</v>
      </c>
      <c r="N374" s="87">
        <f t="shared" si="55"/>
        <v>0</v>
      </c>
    </row>
    <row r="375" spans="2:14" ht="20.100000000000001" customHeight="1">
      <c r="B375" s="85" t="s">
        <v>433</v>
      </c>
      <c r="C375" s="85" t="s">
        <v>432</v>
      </c>
      <c r="D375" s="86"/>
      <c r="E375" s="86"/>
      <c r="F375" s="86"/>
      <c r="G375" s="86"/>
      <c r="H375" s="87"/>
      <c r="I375" s="86"/>
      <c r="J375" s="86">
        <v>0</v>
      </c>
      <c r="K375" s="86">
        <v>0</v>
      </c>
      <c r="L375" s="86">
        <v>0</v>
      </c>
      <c r="M375" s="86">
        <v>0</v>
      </c>
      <c r="N375" s="87">
        <f t="shared" si="55"/>
        <v>0</v>
      </c>
    </row>
    <row r="376" spans="2:14" ht="20.100000000000001" customHeight="1">
      <c r="B376" s="85" t="s">
        <v>434</v>
      </c>
      <c r="C376" s="85" t="s">
        <v>435</v>
      </c>
      <c r="D376" s="86"/>
      <c r="E376" s="86"/>
      <c r="F376" s="86"/>
      <c r="G376" s="86"/>
      <c r="H376" s="87"/>
      <c r="I376" s="86"/>
      <c r="J376" s="86">
        <v>0</v>
      </c>
      <c r="K376" s="86">
        <v>0</v>
      </c>
      <c r="L376" s="86">
        <v>0</v>
      </c>
      <c r="M376" s="86">
        <v>0</v>
      </c>
      <c r="N376" s="87">
        <f t="shared" si="55"/>
        <v>0</v>
      </c>
    </row>
    <row r="377" spans="2:14" ht="20.100000000000001" customHeight="1">
      <c r="B377" s="85" t="s">
        <v>434</v>
      </c>
      <c r="C377" s="85" t="s">
        <v>833</v>
      </c>
      <c r="D377" s="86"/>
      <c r="E377" s="86"/>
      <c r="F377" s="86"/>
      <c r="G377" s="86"/>
      <c r="H377" s="87"/>
      <c r="I377" s="86"/>
      <c r="J377" s="86">
        <v>0</v>
      </c>
      <c r="K377" s="86">
        <v>0</v>
      </c>
      <c r="L377" s="86">
        <v>0</v>
      </c>
      <c r="M377" s="86">
        <v>0</v>
      </c>
      <c r="N377" s="87">
        <f t="shared" si="55"/>
        <v>0</v>
      </c>
    </row>
    <row r="378" spans="2:14" ht="20.100000000000001" customHeight="1">
      <c r="B378" s="85" t="s">
        <v>434</v>
      </c>
      <c r="C378" s="85" t="s">
        <v>436</v>
      </c>
      <c r="D378" s="86"/>
      <c r="E378" s="86"/>
      <c r="F378" s="86"/>
      <c r="G378" s="86"/>
      <c r="H378" s="87"/>
      <c r="I378" s="86"/>
      <c r="J378" s="86">
        <v>0</v>
      </c>
      <c r="K378" s="86">
        <v>0</v>
      </c>
      <c r="L378" s="86">
        <v>0</v>
      </c>
      <c r="M378" s="86">
        <v>0</v>
      </c>
      <c r="N378" s="87">
        <f t="shared" si="55"/>
        <v>0</v>
      </c>
    </row>
    <row r="379" spans="2:14" ht="20.100000000000001" customHeight="1">
      <c r="B379" s="85" t="s">
        <v>437</v>
      </c>
      <c r="C379" s="85" t="s">
        <v>438</v>
      </c>
      <c r="D379" s="86"/>
      <c r="E379" s="86"/>
      <c r="F379" s="86"/>
      <c r="G379" s="86"/>
      <c r="H379" s="87"/>
      <c r="I379" s="86"/>
      <c r="J379" s="86">
        <v>0</v>
      </c>
      <c r="K379" s="86">
        <v>0</v>
      </c>
      <c r="L379" s="86">
        <v>0</v>
      </c>
      <c r="M379" s="86">
        <v>0</v>
      </c>
      <c r="N379" s="87">
        <f t="shared" si="55"/>
        <v>0</v>
      </c>
    </row>
    <row r="380" spans="2:14" ht="20.100000000000001" customHeight="1">
      <c r="B380" s="85" t="s">
        <v>440</v>
      </c>
      <c r="C380" s="85" t="s">
        <v>272</v>
      </c>
      <c r="D380" s="86"/>
      <c r="E380" s="86"/>
      <c r="F380" s="86"/>
      <c r="G380" s="86"/>
      <c r="H380" s="87"/>
      <c r="I380" s="86"/>
      <c r="J380" s="86">
        <v>0</v>
      </c>
      <c r="K380" s="86">
        <v>0</v>
      </c>
      <c r="L380" s="86">
        <v>0</v>
      </c>
      <c r="M380" s="86">
        <v>0</v>
      </c>
      <c r="N380" s="87">
        <f t="shared" si="55"/>
        <v>0</v>
      </c>
    </row>
    <row r="381" spans="2:14" ht="20.100000000000001" customHeight="1">
      <c r="B381" s="85" t="s">
        <v>440</v>
      </c>
      <c r="C381" s="85" t="s">
        <v>1173</v>
      </c>
      <c r="D381" s="86"/>
      <c r="E381" s="86"/>
      <c r="F381" s="86"/>
      <c r="G381" s="86"/>
      <c r="H381" s="87"/>
      <c r="I381" s="86"/>
      <c r="J381" s="86">
        <v>0</v>
      </c>
      <c r="K381" s="86">
        <v>0</v>
      </c>
      <c r="L381" s="86">
        <v>0</v>
      </c>
      <c r="M381" s="86">
        <v>0</v>
      </c>
      <c r="N381" s="87">
        <f t="shared" ref="N381" si="60">M381+L381+K381+J381</f>
        <v>0</v>
      </c>
    </row>
    <row r="382" spans="2:14" ht="20.100000000000001" customHeight="1">
      <c r="B382" s="85" t="s">
        <v>441</v>
      </c>
      <c r="C382" s="85" t="s">
        <v>439</v>
      </c>
      <c r="D382" s="86"/>
      <c r="E382" s="86"/>
      <c r="F382" s="86"/>
      <c r="G382" s="86"/>
      <c r="H382" s="87"/>
      <c r="I382" s="86"/>
      <c r="J382" s="86">
        <v>0</v>
      </c>
      <c r="K382" s="86">
        <v>0</v>
      </c>
      <c r="L382" s="86">
        <v>0</v>
      </c>
      <c r="M382" s="86">
        <v>0</v>
      </c>
      <c r="N382" s="87">
        <f t="shared" si="55"/>
        <v>0</v>
      </c>
    </row>
    <row r="383" spans="2:14" ht="20.100000000000001" customHeight="1">
      <c r="B383" s="85" t="s">
        <v>441</v>
      </c>
      <c r="C383" s="85" t="s">
        <v>870</v>
      </c>
      <c r="D383" s="86"/>
      <c r="E383" s="86"/>
      <c r="F383" s="86"/>
      <c r="G383" s="86"/>
      <c r="H383" s="87"/>
      <c r="I383" s="86"/>
      <c r="J383" s="86"/>
      <c r="K383" s="86">
        <v>0</v>
      </c>
      <c r="L383" s="86">
        <v>0</v>
      </c>
      <c r="M383" s="86">
        <v>0</v>
      </c>
      <c r="N383" s="87">
        <f t="shared" si="55"/>
        <v>0</v>
      </c>
    </row>
    <row r="384" spans="2:14" ht="20.100000000000001" customHeight="1">
      <c r="B384" s="85" t="s">
        <v>442</v>
      </c>
      <c r="C384" s="85" t="s">
        <v>273</v>
      </c>
      <c r="D384" s="86"/>
      <c r="E384" s="86"/>
      <c r="F384" s="86"/>
      <c r="G384" s="86"/>
      <c r="H384" s="87"/>
      <c r="I384" s="86"/>
      <c r="J384" s="86">
        <v>0</v>
      </c>
      <c r="K384" s="86">
        <v>0</v>
      </c>
      <c r="L384" s="86">
        <v>0</v>
      </c>
      <c r="M384" s="86">
        <v>0</v>
      </c>
      <c r="N384" s="87">
        <f t="shared" si="55"/>
        <v>0</v>
      </c>
    </row>
    <row r="385" spans="2:14" ht="20.100000000000001" customHeight="1">
      <c r="B385" s="85" t="s">
        <v>442</v>
      </c>
      <c r="C385" s="85" t="s">
        <v>443</v>
      </c>
      <c r="D385" s="86"/>
      <c r="E385" s="86"/>
      <c r="F385" s="86"/>
      <c r="G385" s="86"/>
      <c r="H385" s="87"/>
      <c r="I385" s="86"/>
      <c r="J385" s="86">
        <v>0</v>
      </c>
      <c r="K385" s="86">
        <v>0</v>
      </c>
      <c r="L385" s="86">
        <v>0</v>
      </c>
      <c r="M385" s="86">
        <v>0</v>
      </c>
      <c r="N385" s="87">
        <f t="shared" si="55"/>
        <v>0</v>
      </c>
    </row>
    <row r="386" spans="2:14" ht="20.100000000000001" customHeight="1">
      <c r="B386" s="85" t="s">
        <v>274</v>
      </c>
      <c r="C386" s="85" t="s">
        <v>871</v>
      </c>
      <c r="D386" s="86"/>
      <c r="E386" s="86"/>
      <c r="F386" s="86"/>
      <c r="G386" s="86"/>
      <c r="H386" s="87"/>
      <c r="I386" s="86"/>
      <c r="J386" s="86">
        <v>0</v>
      </c>
      <c r="K386" s="86">
        <v>0</v>
      </c>
      <c r="L386" s="86">
        <v>0</v>
      </c>
      <c r="M386" s="86">
        <v>0</v>
      </c>
      <c r="N386" s="87">
        <f t="shared" si="55"/>
        <v>0</v>
      </c>
    </row>
    <row r="387" spans="2:14" ht="20.100000000000001" customHeight="1">
      <c r="B387" s="85" t="s">
        <v>274</v>
      </c>
      <c r="C387" s="85" t="s">
        <v>327</v>
      </c>
      <c r="D387" s="86"/>
      <c r="E387" s="86"/>
      <c r="F387" s="86"/>
      <c r="G387" s="86"/>
      <c r="H387" s="87"/>
      <c r="I387" s="86"/>
      <c r="J387" s="86">
        <v>0</v>
      </c>
      <c r="K387" s="86">
        <v>0</v>
      </c>
      <c r="L387" s="86">
        <v>0</v>
      </c>
      <c r="M387" s="86">
        <v>0</v>
      </c>
      <c r="N387" s="87">
        <f t="shared" si="55"/>
        <v>0</v>
      </c>
    </row>
    <row r="388" spans="2:14" ht="20.100000000000001" customHeight="1">
      <c r="B388" s="85" t="s">
        <v>274</v>
      </c>
      <c r="C388" s="85" t="s">
        <v>444</v>
      </c>
      <c r="D388" s="86"/>
      <c r="E388" s="86"/>
      <c r="F388" s="86"/>
      <c r="G388" s="86"/>
      <c r="H388" s="87"/>
      <c r="I388" s="86"/>
      <c r="J388" s="86">
        <v>0</v>
      </c>
      <c r="K388" s="86">
        <v>0</v>
      </c>
      <c r="L388" s="86">
        <v>0</v>
      </c>
      <c r="M388" s="86">
        <v>0</v>
      </c>
      <c r="N388" s="87">
        <f t="shared" ref="N388:N414" si="61">M388+L388+K388+J388</f>
        <v>0</v>
      </c>
    </row>
    <row r="389" spans="2:14" ht="20.100000000000001" customHeight="1">
      <c r="B389" s="85" t="s">
        <v>573</v>
      </c>
      <c r="C389" s="85" t="s">
        <v>574</v>
      </c>
      <c r="D389" s="86"/>
      <c r="E389" s="86"/>
      <c r="F389" s="86"/>
      <c r="G389" s="86"/>
      <c r="H389" s="87"/>
      <c r="I389" s="86"/>
      <c r="J389" s="86">
        <v>0</v>
      </c>
      <c r="K389" s="86">
        <v>0</v>
      </c>
      <c r="L389" s="86">
        <v>0</v>
      </c>
      <c r="M389" s="86">
        <v>0</v>
      </c>
      <c r="N389" s="87">
        <f t="shared" si="61"/>
        <v>0</v>
      </c>
    </row>
    <row r="390" spans="2:14" ht="19.5" customHeight="1">
      <c r="B390" s="85" t="s">
        <v>695</v>
      </c>
      <c r="C390" s="85" t="s">
        <v>696</v>
      </c>
      <c r="D390" s="86"/>
      <c r="E390" s="86"/>
      <c r="F390" s="86"/>
      <c r="G390" s="86"/>
      <c r="H390" s="87"/>
      <c r="I390" s="86"/>
      <c r="J390" s="86">
        <v>0</v>
      </c>
      <c r="K390" s="86">
        <v>0</v>
      </c>
      <c r="L390" s="86">
        <v>0</v>
      </c>
      <c r="M390" s="86">
        <v>0</v>
      </c>
      <c r="N390" s="87">
        <f t="shared" si="61"/>
        <v>0</v>
      </c>
    </row>
    <row r="391" spans="2:14" ht="20.25" customHeight="1">
      <c r="B391" s="85" t="s">
        <v>575</v>
      </c>
      <c r="C391" s="85" t="s">
        <v>576</v>
      </c>
      <c r="D391" s="86"/>
      <c r="E391" s="86"/>
      <c r="F391" s="86"/>
      <c r="G391" s="86"/>
      <c r="H391" s="87"/>
      <c r="I391" s="86"/>
      <c r="J391" s="86">
        <v>0</v>
      </c>
      <c r="K391" s="86">
        <v>0</v>
      </c>
      <c r="L391" s="86">
        <v>0</v>
      </c>
      <c r="M391" s="86">
        <v>0</v>
      </c>
      <c r="N391" s="87">
        <f t="shared" si="61"/>
        <v>0</v>
      </c>
    </row>
    <row r="392" spans="2:14" ht="20.25" customHeight="1">
      <c r="B392" s="85" t="s">
        <v>577</v>
      </c>
      <c r="C392" s="85" t="s">
        <v>578</v>
      </c>
      <c r="D392" s="86"/>
      <c r="E392" s="86"/>
      <c r="F392" s="86"/>
      <c r="G392" s="86"/>
      <c r="H392" s="87"/>
      <c r="I392" s="86"/>
      <c r="J392" s="86">
        <v>0</v>
      </c>
      <c r="K392" s="86">
        <v>0</v>
      </c>
      <c r="L392" s="86">
        <v>0</v>
      </c>
      <c r="M392" s="86">
        <v>0</v>
      </c>
      <c r="N392" s="87">
        <f t="shared" si="61"/>
        <v>0</v>
      </c>
    </row>
    <row r="393" spans="2:14" ht="24" customHeight="1">
      <c r="B393" s="85" t="s">
        <v>691</v>
      </c>
      <c r="C393" s="85" t="s">
        <v>692</v>
      </c>
      <c r="D393" s="86"/>
      <c r="E393" s="86"/>
      <c r="F393" s="86"/>
      <c r="G393" s="86"/>
      <c r="H393" s="87"/>
      <c r="I393" s="86"/>
      <c r="J393" s="86">
        <v>0</v>
      </c>
      <c r="K393" s="86">
        <v>0</v>
      </c>
      <c r="L393" s="86">
        <v>0</v>
      </c>
      <c r="M393" s="86">
        <v>0</v>
      </c>
      <c r="N393" s="87">
        <f t="shared" si="61"/>
        <v>0</v>
      </c>
    </row>
    <row r="394" spans="2:14" ht="21" customHeight="1">
      <c r="B394" s="85" t="s">
        <v>693</v>
      </c>
      <c r="C394" s="85" t="s">
        <v>694</v>
      </c>
      <c r="D394" s="86"/>
      <c r="E394" s="86"/>
      <c r="F394" s="86"/>
      <c r="G394" s="86"/>
      <c r="H394" s="87"/>
      <c r="I394" s="86"/>
      <c r="J394" s="86">
        <v>0</v>
      </c>
      <c r="K394" s="86">
        <v>0</v>
      </c>
      <c r="L394" s="86">
        <v>0</v>
      </c>
      <c r="M394" s="86">
        <v>0</v>
      </c>
      <c r="N394" s="87">
        <f t="shared" si="61"/>
        <v>0</v>
      </c>
    </row>
    <row r="395" spans="2:14" ht="19.5" customHeight="1">
      <c r="B395" s="85" t="s">
        <v>697</v>
      </c>
      <c r="C395" s="85" t="s">
        <v>698</v>
      </c>
      <c r="D395" s="86"/>
      <c r="E395" s="86"/>
      <c r="F395" s="86"/>
      <c r="G395" s="86"/>
      <c r="H395" s="87"/>
      <c r="I395" s="86"/>
      <c r="J395" s="86">
        <v>0</v>
      </c>
      <c r="K395" s="86">
        <v>0</v>
      </c>
      <c r="L395" s="86">
        <v>0</v>
      </c>
      <c r="M395" s="86">
        <v>0</v>
      </c>
      <c r="N395" s="87">
        <f t="shared" si="61"/>
        <v>0</v>
      </c>
    </row>
    <row r="396" spans="2:14" ht="19.5" customHeight="1">
      <c r="B396" s="85" t="s">
        <v>693</v>
      </c>
      <c r="C396" s="85" t="s">
        <v>773</v>
      </c>
      <c r="D396" s="86"/>
      <c r="E396" s="86"/>
      <c r="F396" s="86"/>
      <c r="G396" s="86"/>
      <c r="H396" s="87"/>
      <c r="I396" s="86"/>
      <c r="J396" s="86">
        <v>0</v>
      </c>
      <c r="K396" s="86">
        <v>0</v>
      </c>
      <c r="L396" s="86">
        <v>0</v>
      </c>
      <c r="M396" s="86">
        <v>0</v>
      </c>
      <c r="N396" s="87">
        <f t="shared" si="61"/>
        <v>0</v>
      </c>
    </row>
    <row r="397" spans="2:14" ht="20.100000000000001" customHeight="1">
      <c r="B397" s="85" t="s">
        <v>924</v>
      </c>
      <c r="C397" s="85" t="s">
        <v>925</v>
      </c>
      <c r="D397" s="86"/>
      <c r="E397" s="86"/>
      <c r="F397" s="86"/>
      <c r="G397" s="86"/>
      <c r="H397" s="87"/>
      <c r="I397" s="86"/>
      <c r="J397" s="86">
        <v>0</v>
      </c>
      <c r="K397" s="86">
        <v>0</v>
      </c>
      <c r="L397" s="86">
        <v>0</v>
      </c>
      <c r="M397" s="86">
        <v>0</v>
      </c>
      <c r="N397" s="87">
        <f t="shared" si="61"/>
        <v>0</v>
      </c>
    </row>
    <row r="398" spans="2:14" ht="20.25" customHeight="1">
      <c r="B398" s="85" t="s">
        <v>1109</v>
      </c>
      <c r="C398" s="85" t="s">
        <v>1107</v>
      </c>
      <c r="D398" s="86"/>
      <c r="E398" s="86"/>
      <c r="F398" s="86"/>
      <c r="G398" s="86"/>
      <c r="H398" s="87"/>
      <c r="I398" s="86"/>
      <c r="J398" s="86">
        <v>0</v>
      </c>
      <c r="K398" s="86">
        <v>0</v>
      </c>
      <c r="L398" s="86">
        <v>0</v>
      </c>
      <c r="M398" s="86">
        <v>0</v>
      </c>
      <c r="N398" s="87">
        <f t="shared" si="61"/>
        <v>0</v>
      </c>
    </row>
    <row r="399" spans="2:14" ht="21.75" customHeight="1">
      <c r="B399" s="85" t="s">
        <v>1108</v>
      </c>
      <c r="C399" s="85" t="s">
        <v>1110</v>
      </c>
      <c r="D399" s="86"/>
      <c r="E399" s="86"/>
      <c r="F399" s="86"/>
      <c r="G399" s="86"/>
      <c r="H399" s="87"/>
      <c r="I399" s="86"/>
      <c r="J399" s="86">
        <v>0</v>
      </c>
      <c r="K399" s="86">
        <v>0</v>
      </c>
      <c r="L399" s="86">
        <v>0</v>
      </c>
      <c r="M399" s="86">
        <v>0</v>
      </c>
      <c r="N399" s="87">
        <f t="shared" si="61"/>
        <v>0</v>
      </c>
    </row>
    <row r="400" spans="2:14" ht="23.25" customHeight="1">
      <c r="B400" s="85" t="s">
        <v>295</v>
      </c>
      <c r="C400" s="94" t="s">
        <v>296</v>
      </c>
      <c r="D400" s="86"/>
      <c r="E400" s="86"/>
      <c r="F400" s="86"/>
      <c r="G400" s="86"/>
      <c r="H400" s="87"/>
      <c r="I400" s="86"/>
      <c r="J400" s="86">
        <v>0</v>
      </c>
      <c r="K400" s="86">
        <v>0</v>
      </c>
      <c r="L400" s="86">
        <v>0</v>
      </c>
      <c r="M400" s="86">
        <v>0</v>
      </c>
      <c r="N400" s="87">
        <f t="shared" si="61"/>
        <v>0</v>
      </c>
    </row>
    <row r="401" spans="2:14" ht="19.5" customHeight="1">
      <c r="B401" s="85" t="s">
        <v>298</v>
      </c>
      <c r="C401" s="85" t="s">
        <v>299</v>
      </c>
      <c r="D401" s="86"/>
      <c r="E401" s="86"/>
      <c r="F401" s="86"/>
      <c r="G401" s="86"/>
      <c r="H401" s="87"/>
      <c r="I401" s="86"/>
      <c r="J401" s="86">
        <v>0</v>
      </c>
      <c r="K401" s="86">
        <v>0</v>
      </c>
      <c r="L401" s="86">
        <v>0</v>
      </c>
      <c r="M401" s="86">
        <v>0</v>
      </c>
      <c r="N401" s="87">
        <f t="shared" si="61"/>
        <v>0</v>
      </c>
    </row>
    <row r="402" spans="2:14" ht="19.5" customHeight="1">
      <c r="B402" s="85" t="s">
        <v>1261</v>
      </c>
      <c r="C402" s="85" t="s">
        <v>1262</v>
      </c>
      <c r="D402" s="86"/>
      <c r="E402" s="86"/>
      <c r="F402" s="86"/>
      <c r="G402" s="86"/>
      <c r="H402" s="87"/>
      <c r="I402" s="86"/>
      <c r="J402" s="86">
        <v>0</v>
      </c>
      <c r="K402" s="86">
        <v>0</v>
      </c>
      <c r="L402" s="86">
        <v>0</v>
      </c>
      <c r="M402" s="86">
        <v>0</v>
      </c>
      <c r="N402" s="87">
        <f t="shared" ref="N402:N403" si="62">M402+L402+K402+J402</f>
        <v>0</v>
      </c>
    </row>
    <row r="403" spans="2:14" ht="19.5" customHeight="1">
      <c r="B403" s="85" t="s">
        <v>1285</v>
      </c>
      <c r="C403" s="85" t="s">
        <v>1286</v>
      </c>
      <c r="D403" s="86"/>
      <c r="E403" s="86"/>
      <c r="F403" s="86"/>
      <c r="G403" s="86"/>
      <c r="H403" s="87"/>
      <c r="I403" s="86"/>
      <c r="J403" s="86">
        <v>0</v>
      </c>
      <c r="K403" s="86">
        <v>0</v>
      </c>
      <c r="L403" s="86">
        <v>0</v>
      </c>
      <c r="M403" s="86">
        <v>0</v>
      </c>
      <c r="N403" s="87">
        <f t="shared" si="62"/>
        <v>0</v>
      </c>
    </row>
    <row r="404" spans="2:14" ht="19.5" customHeight="1">
      <c r="B404" s="85" t="s">
        <v>1287</v>
      </c>
      <c r="C404" s="85" t="s">
        <v>1288</v>
      </c>
      <c r="D404" s="86"/>
      <c r="E404" s="86"/>
      <c r="F404" s="86"/>
      <c r="G404" s="86"/>
      <c r="H404" s="87"/>
      <c r="I404" s="86"/>
      <c r="J404" s="86">
        <v>0</v>
      </c>
      <c r="K404" s="86">
        <v>0</v>
      </c>
      <c r="L404" s="86">
        <v>0</v>
      </c>
      <c r="M404" s="86">
        <v>0</v>
      </c>
      <c r="N404" s="87">
        <f t="shared" ref="N404" si="63">M404+L404+K404+J404</f>
        <v>0</v>
      </c>
    </row>
    <row r="405" spans="2:14" ht="18.75" customHeight="1">
      <c r="B405" s="85" t="s">
        <v>725</v>
      </c>
      <c r="C405" s="94" t="s">
        <v>726</v>
      </c>
      <c r="D405" s="86"/>
      <c r="E405" s="86"/>
      <c r="F405" s="86"/>
      <c r="G405" s="86"/>
      <c r="H405" s="87"/>
      <c r="I405" s="86"/>
      <c r="J405" s="86">
        <v>0</v>
      </c>
      <c r="K405" s="86">
        <v>0</v>
      </c>
      <c r="L405" s="86">
        <v>0</v>
      </c>
      <c r="M405" s="86">
        <v>0</v>
      </c>
      <c r="N405" s="87">
        <f t="shared" si="61"/>
        <v>0</v>
      </c>
    </row>
    <row r="406" spans="2:14" ht="18.75" customHeight="1">
      <c r="B406" s="85" t="s">
        <v>727</v>
      </c>
      <c r="C406" s="94" t="s">
        <v>728</v>
      </c>
      <c r="D406" s="86"/>
      <c r="E406" s="86"/>
      <c r="F406" s="86"/>
      <c r="G406" s="86"/>
      <c r="H406" s="87"/>
      <c r="I406" s="86"/>
      <c r="J406" s="86">
        <v>0</v>
      </c>
      <c r="K406" s="86">
        <v>0</v>
      </c>
      <c r="L406" s="86">
        <v>0</v>
      </c>
      <c r="M406" s="86">
        <v>0</v>
      </c>
      <c r="N406" s="87">
        <f t="shared" si="61"/>
        <v>0</v>
      </c>
    </row>
    <row r="407" spans="2:14" ht="20.100000000000001" customHeight="1">
      <c r="B407" s="85" t="s">
        <v>511</v>
      </c>
      <c r="C407" s="94" t="s">
        <v>873</v>
      </c>
      <c r="D407" s="86"/>
      <c r="E407" s="86"/>
      <c r="F407" s="86"/>
      <c r="G407" s="86"/>
      <c r="H407" s="87"/>
      <c r="I407" s="86"/>
      <c r="J407" s="86">
        <v>0</v>
      </c>
      <c r="K407" s="86">
        <v>0</v>
      </c>
      <c r="L407" s="86">
        <v>0</v>
      </c>
      <c r="M407" s="86">
        <v>0</v>
      </c>
      <c r="N407" s="87">
        <f t="shared" si="61"/>
        <v>0</v>
      </c>
    </row>
    <row r="408" spans="2:14" ht="20.100000000000001" customHeight="1">
      <c r="B408" s="85" t="s">
        <v>1303</v>
      </c>
      <c r="C408" s="94" t="s">
        <v>1304</v>
      </c>
      <c r="D408" s="86"/>
      <c r="E408" s="86"/>
      <c r="F408" s="86"/>
      <c r="G408" s="86"/>
      <c r="H408" s="87"/>
      <c r="I408" s="86"/>
      <c r="J408" s="86">
        <v>0</v>
      </c>
      <c r="K408" s="86">
        <v>0</v>
      </c>
      <c r="L408" s="86">
        <v>0</v>
      </c>
      <c r="M408" s="86">
        <v>0</v>
      </c>
      <c r="N408" s="87">
        <f t="shared" ref="N408" si="64">M408+L408+K408+J408</f>
        <v>0</v>
      </c>
    </row>
    <row r="409" spans="2:14" ht="20.100000000000001" customHeight="1">
      <c r="B409" s="85" t="s">
        <v>729</v>
      </c>
      <c r="C409" s="94" t="s">
        <v>730</v>
      </c>
      <c r="D409" s="86"/>
      <c r="E409" s="86"/>
      <c r="F409" s="86"/>
      <c r="G409" s="86"/>
      <c r="H409" s="87"/>
      <c r="I409" s="86"/>
      <c r="J409" s="86">
        <v>0</v>
      </c>
      <c r="K409" s="86">
        <v>0</v>
      </c>
      <c r="L409" s="86">
        <v>0</v>
      </c>
      <c r="M409" s="86">
        <v>0</v>
      </c>
      <c r="N409" s="87">
        <f t="shared" si="61"/>
        <v>0</v>
      </c>
    </row>
    <row r="410" spans="2:14" ht="19.5" customHeight="1">
      <c r="B410" s="85" t="s">
        <v>931</v>
      </c>
      <c r="C410" s="94" t="s">
        <v>937</v>
      </c>
      <c r="D410" s="86"/>
      <c r="E410" s="86"/>
      <c r="F410" s="86"/>
      <c r="G410" s="86"/>
      <c r="H410" s="87"/>
      <c r="I410" s="86"/>
      <c r="J410" s="86">
        <v>0</v>
      </c>
      <c r="K410" s="86">
        <v>0</v>
      </c>
      <c r="L410" s="86">
        <v>0</v>
      </c>
      <c r="M410" s="86">
        <v>0</v>
      </c>
      <c r="N410" s="87">
        <f t="shared" si="61"/>
        <v>0</v>
      </c>
    </row>
    <row r="411" spans="2:14" ht="24" customHeight="1">
      <c r="B411" s="85" t="s">
        <v>471</v>
      </c>
      <c r="C411" s="94" t="s">
        <v>472</v>
      </c>
      <c r="D411" s="86"/>
      <c r="E411" s="86"/>
      <c r="F411" s="86"/>
      <c r="G411" s="86"/>
      <c r="H411" s="87"/>
      <c r="I411" s="86"/>
      <c r="J411" s="86">
        <v>0</v>
      </c>
      <c r="K411" s="86">
        <v>0</v>
      </c>
      <c r="L411" s="86">
        <v>0</v>
      </c>
      <c r="M411" s="86">
        <v>0</v>
      </c>
      <c r="N411" s="87">
        <f t="shared" si="61"/>
        <v>0</v>
      </c>
    </row>
    <row r="412" spans="2:14" ht="24" customHeight="1">
      <c r="B412" s="85" t="s">
        <v>1267</v>
      </c>
      <c r="C412" s="85" t="s">
        <v>1268</v>
      </c>
      <c r="D412" s="86"/>
      <c r="E412" s="86"/>
      <c r="F412" s="86"/>
      <c r="G412" s="86"/>
      <c r="H412" s="87"/>
      <c r="I412" s="86"/>
      <c r="J412" s="86">
        <v>0</v>
      </c>
      <c r="K412" s="86">
        <v>0</v>
      </c>
      <c r="L412" s="86">
        <v>0</v>
      </c>
      <c r="M412" s="86">
        <v>0</v>
      </c>
      <c r="N412" s="87">
        <f t="shared" ref="N412" si="65">M412+L412+K412+J412</f>
        <v>0</v>
      </c>
    </row>
    <row r="413" spans="2:14" ht="21" customHeight="1">
      <c r="B413" s="85" t="s">
        <v>732</v>
      </c>
      <c r="C413" s="85" t="s">
        <v>733</v>
      </c>
      <c r="D413" s="86"/>
      <c r="E413" s="86"/>
      <c r="F413" s="86"/>
      <c r="G413" s="86"/>
      <c r="H413" s="87"/>
      <c r="I413" s="86"/>
      <c r="J413" s="86">
        <v>0</v>
      </c>
      <c r="K413" s="86">
        <v>0</v>
      </c>
      <c r="L413" s="86">
        <v>0</v>
      </c>
      <c r="M413" s="86">
        <v>0</v>
      </c>
      <c r="N413" s="87">
        <f t="shared" si="61"/>
        <v>0</v>
      </c>
    </row>
    <row r="414" spans="2:14" ht="21" customHeight="1">
      <c r="B414" s="85" t="s">
        <v>1244</v>
      </c>
      <c r="C414" s="85" t="s">
        <v>1245</v>
      </c>
      <c r="D414" s="86"/>
      <c r="E414" s="86"/>
      <c r="F414" s="86"/>
      <c r="G414" s="86"/>
      <c r="H414" s="87"/>
      <c r="I414" s="86"/>
      <c r="J414" s="86">
        <v>0</v>
      </c>
      <c r="K414" s="86">
        <v>0</v>
      </c>
      <c r="L414" s="86">
        <v>0</v>
      </c>
      <c r="M414" s="86">
        <v>0</v>
      </c>
      <c r="N414" s="87">
        <f t="shared" si="61"/>
        <v>0</v>
      </c>
    </row>
    <row r="415" spans="2:14" ht="21" customHeight="1">
      <c r="B415" s="85" t="s">
        <v>1243</v>
      </c>
      <c r="C415" s="85" t="s">
        <v>1111</v>
      </c>
      <c r="D415" s="86"/>
      <c r="E415" s="86"/>
      <c r="F415" s="86"/>
      <c r="G415" s="86"/>
      <c r="H415" s="87"/>
      <c r="I415" s="86"/>
      <c r="J415" s="86">
        <v>0</v>
      </c>
      <c r="K415" s="86">
        <v>0</v>
      </c>
      <c r="L415" s="86">
        <v>0</v>
      </c>
      <c r="M415" s="86">
        <v>0</v>
      </c>
      <c r="N415" s="87">
        <f t="shared" ref="N415" si="66">M415+L415+K415+J415</f>
        <v>0</v>
      </c>
    </row>
    <row r="416" spans="2:14" ht="21.75" customHeight="1">
      <c r="B416" s="85" t="s">
        <v>786</v>
      </c>
      <c r="C416" s="85" t="s">
        <v>787</v>
      </c>
      <c r="D416" s="86"/>
      <c r="E416" s="86"/>
      <c r="F416" s="86"/>
      <c r="G416" s="86"/>
      <c r="H416" s="87"/>
      <c r="I416" s="86"/>
      <c r="J416" s="86">
        <v>0</v>
      </c>
      <c r="K416" s="86">
        <v>0</v>
      </c>
      <c r="L416" s="86">
        <v>0</v>
      </c>
      <c r="M416" s="86">
        <v>0</v>
      </c>
      <c r="N416" s="87">
        <f t="shared" ref="N416:N420" si="67">M416+L416+K416+J416</f>
        <v>0</v>
      </c>
    </row>
    <row r="417" spans="2:14" ht="21.75" customHeight="1">
      <c r="B417" s="85" t="s">
        <v>1061</v>
      </c>
      <c r="C417" s="85" t="s">
        <v>1062</v>
      </c>
      <c r="D417" s="86"/>
      <c r="E417" s="86"/>
      <c r="F417" s="86"/>
      <c r="G417" s="86"/>
      <c r="H417" s="87"/>
      <c r="I417" s="86"/>
      <c r="J417" s="86">
        <v>0</v>
      </c>
      <c r="K417" s="86">
        <v>0</v>
      </c>
      <c r="L417" s="86">
        <v>0</v>
      </c>
      <c r="M417" s="86">
        <v>0</v>
      </c>
      <c r="N417" s="87">
        <f t="shared" si="67"/>
        <v>0</v>
      </c>
    </row>
    <row r="418" spans="2:14" ht="21.75" customHeight="1">
      <c r="B418" s="85" t="s">
        <v>765</v>
      </c>
      <c r="C418" s="85" t="s">
        <v>766</v>
      </c>
      <c r="D418" s="86"/>
      <c r="E418" s="86"/>
      <c r="F418" s="86"/>
      <c r="G418" s="86"/>
      <c r="H418" s="87"/>
      <c r="I418" s="86"/>
      <c r="J418" s="86">
        <v>0</v>
      </c>
      <c r="K418" s="86">
        <v>0</v>
      </c>
      <c r="L418" s="86">
        <v>0</v>
      </c>
      <c r="M418" s="86">
        <v>0</v>
      </c>
      <c r="N418" s="87">
        <f t="shared" si="67"/>
        <v>0</v>
      </c>
    </row>
    <row r="419" spans="2:14" ht="21" customHeight="1">
      <c r="B419" s="85" t="s">
        <v>969</v>
      </c>
      <c r="C419" s="85" t="s">
        <v>970</v>
      </c>
      <c r="D419" s="86"/>
      <c r="E419" s="86"/>
      <c r="F419" s="86"/>
      <c r="G419" s="86"/>
      <c r="H419" s="87"/>
      <c r="I419" s="86"/>
      <c r="J419" s="86">
        <v>0</v>
      </c>
      <c r="K419" s="86">
        <v>0</v>
      </c>
      <c r="L419" s="86">
        <v>0</v>
      </c>
      <c r="M419" s="86">
        <v>0</v>
      </c>
      <c r="N419" s="87">
        <f t="shared" si="67"/>
        <v>0</v>
      </c>
    </row>
    <row r="420" spans="2:14" ht="20.100000000000001" customHeight="1">
      <c r="B420" s="88" t="s">
        <v>277</v>
      </c>
      <c r="C420" s="88" t="s">
        <v>278</v>
      </c>
      <c r="D420" s="89"/>
      <c r="E420" s="103"/>
      <c r="F420" s="103"/>
      <c r="G420" s="103"/>
      <c r="H420" s="90"/>
      <c r="I420" s="89"/>
      <c r="J420" s="89">
        <v>0</v>
      </c>
      <c r="K420" s="89">
        <v>0</v>
      </c>
      <c r="L420" s="89">
        <v>0</v>
      </c>
      <c r="M420" s="89">
        <v>0</v>
      </c>
      <c r="N420" s="90">
        <f t="shared" si="67"/>
        <v>0</v>
      </c>
    </row>
    <row r="421" spans="2:14" ht="31.5" customHeight="1">
      <c r="B421" s="304" t="s">
        <v>38</v>
      </c>
      <c r="C421" s="305"/>
      <c r="D421" s="40">
        <f>SUM(D318:D420)</f>
        <v>0</v>
      </c>
      <c r="E421" s="40">
        <f>SUM(E318:E420)</f>
        <v>0</v>
      </c>
      <c r="F421" s="40">
        <f>SUM(F318:F420)</f>
        <v>0</v>
      </c>
      <c r="G421" s="40"/>
      <c r="H421" s="40">
        <f t="shared" ref="H421:N421" si="68">SUM(H318:H420)</f>
        <v>0</v>
      </c>
      <c r="I421" s="40">
        <f t="shared" si="68"/>
        <v>0</v>
      </c>
      <c r="J421" s="40">
        <f t="shared" si="68"/>
        <v>0</v>
      </c>
      <c r="K421" s="40">
        <f t="shared" si="68"/>
        <v>0</v>
      </c>
      <c r="L421" s="40">
        <f t="shared" si="68"/>
        <v>0</v>
      </c>
      <c r="M421" s="40">
        <f t="shared" si="68"/>
        <v>0</v>
      </c>
      <c r="N421" s="40">
        <f t="shared" si="68"/>
        <v>0</v>
      </c>
    </row>
    <row r="422" spans="2:14" ht="20.100000000000001" customHeight="1">
      <c r="B422" s="294" t="s">
        <v>39</v>
      </c>
      <c r="C422" s="295"/>
      <c r="D422" s="36">
        <f>D421+D316</f>
        <v>0</v>
      </c>
      <c r="E422" s="36">
        <f>E421+E316</f>
        <v>0</v>
      </c>
      <c r="F422" s="36">
        <f>F421+F316</f>
        <v>0</v>
      </c>
      <c r="G422" s="36"/>
      <c r="H422" s="36">
        <f t="shared" ref="H422:N422" si="69">H421+H316</f>
        <v>0</v>
      </c>
      <c r="I422" s="36">
        <f t="shared" si="69"/>
        <v>0</v>
      </c>
      <c r="J422" s="36">
        <f t="shared" si="69"/>
        <v>0</v>
      </c>
      <c r="K422" s="36">
        <f t="shared" si="69"/>
        <v>0</v>
      </c>
      <c r="L422" s="36">
        <f t="shared" si="69"/>
        <v>0</v>
      </c>
      <c r="M422" s="36">
        <f t="shared" si="69"/>
        <v>0</v>
      </c>
      <c r="N422" s="36">
        <f t="shared" si="69"/>
        <v>0</v>
      </c>
    </row>
    <row r="423" spans="2:14" ht="24" customHeight="1">
      <c r="B423" s="15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2:14" ht="21.75" customHeight="1">
      <c r="B424" s="300" t="s">
        <v>0</v>
      </c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</row>
    <row r="425" spans="2:14" ht="21.75" customHeight="1" thickBot="1">
      <c r="B425" s="287" t="s">
        <v>1310</v>
      </c>
      <c r="C425" s="288"/>
      <c r="D425" s="288"/>
      <c r="E425" s="288"/>
      <c r="F425" s="288"/>
      <c r="G425" s="288"/>
      <c r="H425" s="288"/>
      <c r="I425" s="288"/>
      <c r="J425" s="288"/>
      <c r="K425" s="288"/>
      <c r="L425" s="288"/>
      <c r="M425" s="288"/>
      <c r="N425" s="288"/>
    </row>
    <row r="426" spans="2:14" ht="30" customHeight="1" thickBot="1">
      <c r="B426" s="289" t="s">
        <v>1</v>
      </c>
      <c r="C426" s="25" t="s">
        <v>192</v>
      </c>
      <c r="D426" s="4" t="s">
        <v>40</v>
      </c>
      <c r="E426" s="3" t="s">
        <v>3</v>
      </c>
      <c r="F426" s="3" t="s">
        <v>4</v>
      </c>
      <c r="G426" s="3"/>
      <c r="H426" s="3" t="s">
        <v>5</v>
      </c>
      <c r="I426" s="5" t="s">
        <v>6</v>
      </c>
      <c r="J426" s="278" t="s">
        <v>5</v>
      </c>
      <c r="K426" s="279"/>
      <c r="L426" s="279"/>
      <c r="M426" s="279"/>
      <c r="N426" s="280"/>
    </row>
    <row r="427" spans="2:14" ht="16.5" customHeight="1">
      <c r="B427" s="290"/>
      <c r="C427" s="24" t="s">
        <v>193</v>
      </c>
      <c r="D427" s="6" t="s">
        <v>7</v>
      </c>
      <c r="E427" s="6" t="s">
        <v>7</v>
      </c>
      <c r="F427" s="6" t="s">
        <v>7</v>
      </c>
      <c r="G427" s="7"/>
      <c r="H427" s="7" t="s">
        <v>7</v>
      </c>
      <c r="I427" s="8" t="s">
        <v>7</v>
      </c>
      <c r="J427" s="44" t="s">
        <v>8</v>
      </c>
      <c r="K427" s="45" t="s">
        <v>9</v>
      </c>
      <c r="L427" s="45" t="s">
        <v>10</v>
      </c>
      <c r="M427" s="46" t="s">
        <v>11</v>
      </c>
      <c r="N427" s="297" t="s">
        <v>12</v>
      </c>
    </row>
    <row r="428" spans="2:14" ht="19.5" customHeight="1">
      <c r="B428" s="303"/>
      <c r="C428" s="41"/>
      <c r="D428" s="42" t="s">
        <v>13</v>
      </c>
      <c r="E428" s="42" t="s">
        <v>13</v>
      </c>
      <c r="F428" s="42" t="s">
        <v>13</v>
      </c>
      <c r="G428" s="43"/>
      <c r="H428" s="43" t="s">
        <v>13</v>
      </c>
      <c r="I428" s="43" t="s">
        <v>13</v>
      </c>
      <c r="J428" s="80" t="s">
        <v>13</v>
      </c>
      <c r="K428" s="81" t="s">
        <v>13</v>
      </c>
      <c r="L428" s="81" t="s">
        <v>13</v>
      </c>
      <c r="M428" s="82" t="s">
        <v>13</v>
      </c>
      <c r="N428" s="299"/>
    </row>
    <row r="429" spans="2:14" ht="20.100000000000001" customHeight="1">
      <c r="B429" s="100" t="s">
        <v>41</v>
      </c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</row>
    <row r="430" spans="2:14" ht="20.100000000000001" customHeight="1">
      <c r="B430" s="85" t="s">
        <v>358</v>
      </c>
      <c r="C430" s="94" t="s">
        <v>359</v>
      </c>
      <c r="D430" s="86"/>
      <c r="E430" s="86"/>
      <c r="F430" s="86"/>
      <c r="G430" s="86"/>
      <c r="H430" s="87"/>
      <c r="I430" s="86"/>
      <c r="J430" s="86">
        <v>0</v>
      </c>
      <c r="K430" s="86">
        <v>0</v>
      </c>
      <c r="L430" s="86">
        <v>0</v>
      </c>
      <c r="M430" s="86">
        <v>0</v>
      </c>
      <c r="N430" s="87">
        <f t="shared" ref="N430:N451" si="70">M430+L430+K430+J430</f>
        <v>0</v>
      </c>
    </row>
    <row r="431" spans="2:14" ht="20.100000000000001" customHeight="1">
      <c r="B431" s="85" t="s">
        <v>234</v>
      </c>
      <c r="C431" s="94" t="s">
        <v>235</v>
      </c>
      <c r="D431" s="86"/>
      <c r="E431" s="86"/>
      <c r="F431" s="86"/>
      <c r="G431" s="86"/>
      <c r="H431" s="87"/>
      <c r="I431" s="86"/>
      <c r="J431" s="86">
        <v>0</v>
      </c>
      <c r="K431" s="86">
        <v>0</v>
      </c>
      <c r="L431" s="86">
        <v>0</v>
      </c>
      <c r="M431" s="86">
        <v>0</v>
      </c>
      <c r="N431" s="87">
        <f t="shared" si="70"/>
        <v>0</v>
      </c>
    </row>
    <row r="432" spans="2:14" ht="20.100000000000001" customHeight="1">
      <c r="B432" s="85" t="s">
        <v>234</v>
      </c>
      <c r="C432" s="94" t="s">
        <v>1189</v>
      </c>
      <c r="D432" s="86"/>
      <c r="E432" s="86"/>
      <c r="F432" s="86"/>
      <c r="G432" s="86"/>
      <c r="H432" s="87"/>
      <c r="I432" s="86"/>
      <c r="J432" s="86">
        <v>0</v>
      </c>
      <c r="K432" s="86">
        <v>0</v>
      </c>
      <c r="L432" s="86">
        <v>0</v>
      </c>
      <c r="M432" s="86">
        <v>0</v>
      </c>
      <c r="N432" s="87">
        <f t="shared" ref="N432" si="71">M432+L432+K432+J432</f>
        <v>0</v>
      </c>
    </row>
    <row r="433" spans="2:14" ht="20.100000000000001" customHeight="1">
      <c r="B433" s="85" t="s">
        <v>743</v>
      </c>
      <c r="C433" s="94" t="s">
        <v>744</v>
      </c>
      <c r="D433" s="86"/>
      <c r="E433" s="86"/>
      <c r="F433" s="86"/>
      <c r="G433" s="86"/>
      <c r="H433" s="87"/>
      <c r="I433" s="86"/>
      <c r="J433" s="86">
        <v>0</v>
      </c>
      <c r="K433" s="86">
        <v>0</v>
      </c>
      <c r="L433" s="86">
        <v>0</v>
      </c>
      <c r="M433" s="86">
        <v>0</v>
      </c>
      <c r="N433" s="87">
        <f t="shared" si="70"/>
        <v>0</v>
      </c>
    </row>
    <row r="434" spans="2:14" ht="20.100000000000001" customHeight="1">
      <c r="B434" s="85" t="s">
        <v>743</v>
      </c>
      <c r="C434" s="94" t="s">
        <v>1188</v>
      </c>
      <c r="D434" s="86"/>
      <c r="E434" s="86"/>
      <c r="F434" s="86"/>
      <c r="G434" s="86"/>
      <c r="H434" s="87"/>
      <c r="I434" s="86"/>
      <c r="J434" s="86">
        <v>0</v>
      </c>
      <c r="K434" s="86">
        <v>0</v>
      </c>
      <c r="L434" s="86">
        <v>0</v>
      </c>
      <c r="M434" s="86">
        <v>0</v>
      </c>
      <c r="N434" s="87">
        <f t="shared" ref="N434" si="72">M434+L434+K434+J434</f>
        <v>0</v>
      </c>
    </row>
    <row r="435" spans="2:14" ht="20.100000000000001" customHeight="1">
      <c r="B435" s="85" t="s">
        <v>236</v>
      </c>
      <c r="C435" s="94" t="s">
        <v>237</v>
      </c>
      <c r="D435" s="86"/>
      <c r="E435" s="86"/>
      <c r="F435" s="86"/>
      <c r="G435" s="86"/>
      <c r="H435" s="87"/>
      <c r="I435" s="86"/>
      <c r="J435" s="86">
        <v>0</v>
      </c>
      <c r="K435" s="86">
        <v>0</v>
      </c>
      <c r="L435" s="86">
        <v>0</v>
      </c>
      <c r="M435" s="86">
        <v>0</v>
      </c>
      <c r="N435" s="87">
        <f t="shared" si="70"/>
        <v>0</v>
      </c>
    </row>
    <row r="436" spans="2:14" ht="20.100000000000001" customHeight="1">
      <c r="B436" s="85" t="s">
        <v>779</v>
      </c>
      <c r="C436" s="94" t="s">
        <v>780</v>
      </c>
      <c r="D436" s="86"/>
      <c r="E436" s="86"/>
      <c r="F436" s="86"/>
      <c r="G436" s="86"/>
      <c r="H436" s="87"/>
      <c r="I436" s="86"/>
      <c r="J436" s="86">
        <v>0</v>
      </c>
      <c r="K436" s="86">
        <v>0</v>
      </c>
      <c r="L436" s="86">
        <v>0</v>
      </c>
      <c r="M436" s="86">
        <v>0</v>
      </c>
      <c r="N436" s="87">
        <f t="shared" si="70"/>
        <v>0</v>
      </c>
    </row>
    <row r="437" spans="2:14" ht="20.100000000000001" customHeight="1">
      <c r="B437" s="85" t="s">
        <v>745</v>
      </c>
      <c r="C437" s="94" t="s">
        <v>746</v>
      </c>
      <c r="D437" s="86"/>
      <c r="E437" s="86"/>
      <c r="F437" s="86"/>
      <c r="G437" s="86"/>
      <c r="H437" s="87"/>
      <c r="I437" s="86"/>
      <c r="J437" s="86">
        <v>0</v>
      </c>
      <c r="K437" s="86">
        <v>0</v>
      </c>
      <c r="L437" s="86">
        <v>0</v>
      </c>
      <c r="M437" s="86">
        <v>0</v>
      </c>
      <c r="N437" s="87">
        <f t="shared" si="70"/>
        <v>0</v>
      </c>
    </row>
    <row r="438" spans="2:14" ht="20.100000000000001" customHeight="1">
      <c r="B438" s="85" t="s">
        <v>238</v>
      </c>
      <c r="C438" s="94" t="s">
        <v>239</v>
      </c>
      <c r="D438" s="86"/>
      <c r="E438" s="86"/>
      <c r="F438" s="86"/>
      <c r="G438" s="86"/>
      <c r="H438" s="87"/>
      <c r="I438" s="86"/>
      <c r="J438" s="86">
        <v>0</v>
      </c>
      <c r="K438" s="86">
        <v>0</v>
      </c>
      <c r="L438" s="86">
        <v>0</v>
      </c>
      <c r="M438" s="86">
        <v>0</v>
      </c>
      <c r="N438" s="87">
        <f t="shared" si="70"/>
        <v>0</v>
      </c>
    </row>
    <row r="439" spans="2:14" ht="20.100000000000001" customHeight="1">
      <c r="B439" s="85" t="s">
        <v>238</v>
      </c>
      <c r="C439" s="94" t="s">
        <v>240</v>
      </c>
      <c r="D439" s="86"/>
      <c r="E439" s="86"/>
      <c r="F439" s="86"/>
      <c r="G439" s="86"/>
      <c r="H439" s="87"/>
      <c r="I439" s="86"/>
      <c r="J439" s="86">
        <v>0</v>
      </c>
      <c r="K439" s="86">
        <v>0</v>
      </c>
      <c r="L439" s="86">
        <v>0</v>
      </c>
      <c r="M439" s="86">
        <v>0</v>
      </c>
      <c r="N439" s="87">
        <f t="shared" ref="N439" si="73">M439+L439+K439+J439</f>
        <v>0</v>
      </c>
    </row>
    <row r="440" spans="2:14" ht="20.100000000000001" customHeight="1">
      <c r="B440" s="85" t="s">
        <v>241</v>
      </c>
      <c r="C440" s="94" t="s">
        <v>242</v>
      </c>
      <c r="D440" s="86"/>
      <c r="E440" s="86"/>
      <c r="F440" s="86"/>
      <c r="G440" s="86"/>
      <c r="H440" s="87"/>
      <c r="I440" s="86"/>
      <c r="J440" s="86">
        <v>0</v>
      </c>
      <c r="K440" s="86">
        <v>0</v>
      </c>
      <c r="L440" s="86">
        <v>0</v>
      </c>
      <c r="M440" s="86">
        <v>0</v>
      </c>
      <c r="N440" s="87">
        <f t="shared" ref="N440" si="74">M440+L440+K440+J440</f>
        <v>0</v>
      </c>
    </row>
    <row r="441" spans="2:14" ht="20.100000000000001" customHeight="1">
      <c r="B441" s="85" t="s">
        <v>241</v>
      </c>
      <c r="C441" s="94" t="s">
        <v>1248</v>
      </c>
      <c r="D441" s="86"/>
      <c r="E441" s="86"/>
      <c r="F441" s="86"/>
      <c r="G441" s="86"/>
      <c r="H441" s="87"/>
      <c r="I441" s="86"/>
      <c r="J441" s="86">
        <v>0</v>
      </c>
      <c r="K441" s="86">
        <v>0</v>
      </c>
      <c r="L441" s="86">
        <v>0</v>
      </c>
      <c r="M441" s="86">
        <v>0</v>
      </c>
      <c r="N441" s="87">
        <f t="shared" ref="N441" si="75">M441+L441+K441+J441</f>
        <v>0</v>
      </c>
    </row>
    <row r="442" spans="2:14" ht="20.100000000000001" customHeight="1">
      <c r="B442" s="85" t="s">
        <v>747</v>
      </c>
      <c r="C442" s="94" t="s">
        <v>748</v>
      </c>
      <c r="D442" s="86"/>
      <c r="E442" s="86"/>
      <c r="F442" s="86"/>
      <c r="G442" s="86"/>
      <c r="H442" s="87"/>
      <c r="I442" s="86"/>
      <c r="J442" s="86">
        <v>0</v>
      </c>
      <c r="K442" s="86">
        <v>0</v>
      </c>
      <c r="L442" s="86">
        <v>0</v>
      </c>
      <c r="M442" s="86">
        <v>0</v>
      </c>
      <c r="N442" s="87">
        <f t="shared" si="70"/>
        <v>0</v>
      </c>
    </row>
    <row r="443" spans="2:14" ht="20.100000000000001" customHeight="1">
      <c r="B443" s="85" t="s">
        <v>241</v>
      </c>
      <c r="C443" s="94" t="s">
        <v>242</v>
      </c>
      <c r="D443" s="86"/>
      <c r="E443" s="86"/>
      <c r="F443" s="86"/>
      <c r="G443" s="86"/>
      <c r="H443" s="87"/>
      <c r="I443" s="86"/>
      <c r="J443" s="86">
        <v>0</v>
      </c>
      <c r="K443" s="86">
        <v>0</v>
      </c>
      <c r="L443" s="86">
        <v>0</v>
      </c>
      <c r="M443" s="86">
        <v>0</v>
      </c>
      <c r="N443" s="87">
        <f t="shared" si="70"/>
        <v>0</v>
      </c>
    </row>
    <row r="444" spans="2:14" ht="20.100000000000001" customHeight="1">
      <c r="B444" s="85" t="s">
        <v>781</v>
      </c>
      <c r="C444" s="94" t="s">
        <v>782</v>
      </c>
      <c r="D444" s="86"/>
      <c r="E444" s="86"/>
      <c r="F444" s="86"/>
      <c r="G444" s="86"/>
      <c r="H444" s="87"/>
      <c r="I444" s="86"/>
      <c r="J444" s="86">
        <v>0</v>
      </c>
      <c r="K444" s="86">
        <v>0</v>
      </c>
      <c r="L444" s="86">
        <v>0</v>
      </c>
      <c r="M444" s="86">
        <v>0</v>
      </c>
      <c r="N444" s="87">
        <f t="shared" si="70"/>
        <v>0</v>
      </c>
    </row>
    <row r="445" spans="2:14" ht="20.100000000000001" customHeight="1">
      <c r="B445" s="85" t="s">
        <v>243</v>
      </c>
      <c r="C445" s="94" t="s">
        <v>244</v>
      </c>
      <c r="D445" s="86"/>
      <c r="E445" s="86"/>
      <c r="F445" s="86"/>
      <c r="G445" s="86"/>
      <c r="H445" s="87"/>
      <c r="I445" s="86"/>
      <c r="J445" s="86">
        <v>0</v>
      </c>
      <c r="K445" s="86">
        <v>0</v>
      </c>
      <c r="L445" s="86">
        <v>0</v>
      </c>
      <c r="M445" s="86">
        <v>0</v>
      </c>
      <c r="N445" s="87">
        <f t="shared" si="70"/>
        <v>0</v>
      </c>
    </row>
    <row r="446" spans="2:14" ht="20.100000000000001" customHeight="1">
      <c r="B446" s="85" t="s">
        <v>245</v>
      </c>
      <c r="C446" s="94" t="s">
        <v>246</v>
      </c>
      <c r="D446" s="86"/>
      <c r="E446" s="86"/>
      <c r="F446" s="86"/>
      <c r="G446" s="86"/>
      <c r="H446" s="87"/>
      <c r="I446" s="86"/>
      <c r="J446" s="86">
        <v>0</v>
      </c>
      <c r="K446" s="86">
        <v>0</v>
      </c>
      <c r="L446" s="86">
        <v>0</v>
      </c>
      <c r="M446" s="86">
        <v>0</v>
      </c>
      <c r="N446" s="87">
        <f t="shared" si="70"/>
        <v>0</v>
      </c>
    </row>
    <row r="447" spans="2:14" ht="20.100000000000001" customHeight="1">
      <c r="B447" s="85" t="s">
        <v>777</v>
      </c>
      <c r="C447" s="94" t="s">
        <v>778</v>
      </c>
      <c r="D447" s="86"/>
      <c r="E447" s="86"/>
      <c r="F447" s="86"/>
      <c r="G447" s="86"/>
      <c r="H447" s="87"/>
      <c r="I447" s="86"/>
      <c r="J447" s="86">
        <v>0</v>
      </c>
      <c r="K447" s="86">
        <v>0</v>
      </c>
      <c r="L447" s="86">
        <v>0</v>
      </c>
      <c r="M447" s="86">
        <v>0</v>
      </c>
      <c r="N447" s="87">
        <f t="shared" si="70"/>
        <v>0</v>
      </c>
    </row>
    <row r="448" spans="2:14" ht="20.100000000000001" customHeight="1">
      <c r="B448" s="85" t="s">
        <v>1246</v>
      </c>
      <c r="C448" s="94" t="s">
        <v>1247</v>
      </c>
      <c r="D448" s="86"/>
      <c r="E448" s="86"/>
      <c r="F448" s="86"/>
      <c r="G448" s="86"/>
      <c r="H448" s="87"/>
      <c r="I448" s="86"/>
      <c r="J448" s="86">
        <v>0</v>
      </c>
      <c r="K448" s="86">
        <v>0</v>
      </c>
      <c r="L448" s="86">
        <v>0</v>
      </c>
      <c r="M448" s="86">
        <v>0</v>
      </c>
      <c r="N448" s="87">
        <f t="shared" ref="N448" si="76">M448+L448+K448+J448</f>
        <v>0</v>
      </c>
    </row>
    <row r="449" spans="2:14" ht="20.100000000000001" customHeight="1">
      <c r="B449" s="85" t="s">
        <v>749</v>
      </c>
      <c r="C449" s="94" t="s">
        <v>750</v>
      </c>
      <c r="D449" s="86"/>
      <c r="E449" s="86"/>
      <c r="F449" s="86"/>
      <c r="G449" s="86"/>
      <c r="H449" s="87"/>
      <c r="I449" s="86"/>
      <c r="J449" s="86">
        <v>0</v>
      </c>
      <c r="K449" s="86">
        <v>0</v>
      </c>
      <c r="L449" s="86">
        <v>0</v>
      </c>
      <c r="M449" s="86">
        <v>0</v>
      </c>
      <c r="N449" s="87">
        <f t="shared" si="70"/>
        <v>0</v>
      </c>
    </row>
    <row r="450" spans="2:14" ht="20.100000000000001" customHeight="1">
      <c r="B450" s="85" t="s">
        <v>1113</v>
      </c>
      <c r="C450" s="94" t="s">
        <v>1114</v>
      </c>
      <c r="D450" s="86"/>
      <c r="E450" s="86"/>
      <c r="F450" s="86"/>
      <c r="G450" s="86"/>
      <c r="H450" s="87"/>
      <c r="I450" s="86"/>
      <c r="J450" s="86">
        <v>0</v>
      </c>
      <c r="K450" s="86">
        <v>0</v>
      </c>
      <c r="L450" s="86">
        <v>0</v>
      </c>
      <c r="M450" s="86">
        <v>0</v>
      </c>
      <c r="N450" s="87">
        <f t="shared" si="70"/>
        <v>0</v>
      </c>
    </row>
    <row r="451" spans="2:14" ht="20.100000000000001" customHeight="1">
      <c r="B451" s="85" t="s">
        <v>1059</v>
      </c>
      <c r="C451" s="94" t="s">
        <v>1060</v>
      </c>
      <c r="D451" s="86"/>
      <c r="E451" s="86"/>
      <c r="F451" s="86"/>
      <c r="G451" s="86"/>
      <c r="H451" s="87"/>
      <c r="I451" s="86"/>
      <c r="J451" s="86">
        <v>0</v>
      </c>
      <c r="K451" s="86">
        <v>0</v>
      </c>
      <c r="L451" s="86">
        <v>0</v>
      </c>
      <c r="M451" s="86">
        <v>0</v>
      </c>
      <c r="N451" s="87">
        <f t="shared" si="70"/>
        <v>0</v>
      </c>
    </row>
    <row r="452" spans="2:14" ht="20.100000000000001" customHeight="1">
      <c r="B452" s="85" t="s">
        <v>593</v>
      </c>
      <c r="C452" s="94" t="s">
        <v>1115</v>
      </c>
      <c r="D452" s="86"/>
      <c r="E452" s="86"/>
      <c r="F452" s="86"/>
      <c r="G452" s="86"/>
      <c r="H452" s="87"/>
      <c r="I452" s="86"/>
      <c r="J452" s="86">
        <v>0</v>
      </c>
      <c r="K452" s="86"/>
      <c r="L452" s="86"/>
      <c r="M452" s="86"/>
      <c r="N452" s="87"/>
    </row>
    <row r="453" spans="2:14" ht="20.100000000000001" customHeight="1">
      <c r="B453" s="85" t="s">
        <v>593</v>
      </c>
      <c r="C453" s="94" t="s">
        <v>594</v>
      </c>
      <c r="D453" s="86"/>
      <c r="E453" s="86"/>
      <c r="F453" s="86"/>
      <c r="G453" s="86"/>
      <c r="H453" s="87"/>
      <c r="I453" s="86"/>
      <c r="J453" s="86">
        <v>0</v>
      </c>
      <c r="K453" s="86">
        <v>0</v>
      </c>
      <c r="L453" s="86">
        <v>0</v>
      </c>
      <c r="M453" s="86">
        <v>0</v>
      </c>
      <c r="N453" s="87">
        <f t="shared" ref="N453:N478" si="77">M453+L453+K453+J453</f>
        <v>0</v>
      </c>
    </row>
    <row r="454" spans="2:14" ht="20.100000000000001" customHeight="1">
      <c r="B454" s="85" t="s">
        <v>377</v>
      </c>
      <c r="C454" s="94" t="s">
        <v>912</v>
      </c>
      <c r="D454" s="86"/>
      <c r="E454" s="86"/>
      <c r="F454" s="86"/>
      <c r="G454" s="86"/>
      <c r="H454" s="87"/>
      <c r="I454" s="86"/>
      <c r="J454" s="86">
        <v>0</v>
      </c>
      <c r="K454" s="86">
        <v>0</v>
      </c>
      <c r="L454" s="86">
        <v>0</v>
      </c>
      <c r="M454" s="86">
        <v>0</v>
      </c>
      <c r="N454" s="87">
        <f t="shared" si="77"/>
        <v>0</v>
      </c>
    </row>
    <row r="455" spans="2:14" ht="20.100000000000001" customHeight="1">
      <c r="B455" s="85" t="s">
        <v>1082</v>
      </c>
      <c r="C455" s="94" t="s">
        <v>1083</v>
      </c>
      <c r="D455" s="86"/>
      <c r="E455" s="86"/>
      <c r="F455" s="86"/>
      <c r="G455" s="86"/>
      <c r="H455" s="87"/>
      <c r="I455" s="86"/>
      <c r="J455" s="86">
        <v>0</v>
      </c>
      <c r="K455" s="86">
        <v>0</v>
      </c>
      <c r="L455" s="86">
        <v>0</v>
      </c>
      <c r="M455" s="86">
        <v>0</v>
      </c>
      <c r="N455" s="87">
        <f t="shared" si="77"/>
        <v>0</v>
      </c>
    </row>
    <row r="456" spans="2:14" ht="20.100000000000001" customHeight="1">
      <c r="B456" s="85" t="s">
        <v>914</v>
      </c>
      <c r="C456" s="94" t="s">
        <v>513</v>
      </c>
      <c r="D456" s="86"/>
      <c r="E456" s="86"/>
      <c r="F456" s="86"/>
      <c r="G456" s="86"/>
      <c r="H456" s="87"/>
      <c r="I456" s="86"/>
      <c r="J456" s="86">
        <v>0</v>
      </c>
      <c r="K456" s="86">
        <v>0</v>
      </c>
      <c r="L456" s="86">
        <v>0</v>
      </c>
      <c r="M456" s="86">
        <v>0</v>
      </c>
      <c r="N456" s="87">
        <f t="shared" si="77"/>
        <v>0</v>
      </c>
    </row>
    <row r="457" spans="2:14" ht="20.100000000000001" customHeight="1">
      <c r="B457" s="85" t="s">
        <v>247</v>
      </c>
      <c r="C457" s="94" t="s">
        <v>512</v>
      </c>
      <c r="D457" s="86"/>
      <c r="E457" s="86"/>
      <c r="F457" s="86"/>
      <c r="G457" s="86"/>
      <c r="H457" s="87"/>
      <c r="I457" s="86"/>
      <c r="J457" s="86">
        <v>0</v>
      </c>
      <c r="K457" s="86"/>
      <c r="L457" s="86">
        <v>0</v>
      </c>
      <c r="M457" s="86">
        <v>0</v>
      </c>
      <c r="N457" s="87">
        <f t="shared" si="77"/>
        <v>0</v>
      </c>
    </row>
    <row r="458" spans="2:14" ht="20.100000000000001" customHeight="1">
      <c r="B458" s="85" t="s">
        <v>247</v>
      </c>
      <c r="C458" s="94" t="s">
        <v>1168</v>
      </c>
      <c r="D458" s="86"/>
      <c r="E458" s="86"/>
      <c r="F458" s="86"/>
      <c r="G458" s="86"/>
      <c r="H458" s="87"/>
      <c r="I458" s="86"/>
      <c r="J458" s="86">
        <v>0</v>
      </c>
      <c r="K458" s="86"/>
      <c r="L458" s="86">
        <v>0</v>
      </c>
      <c r="M458" s="86">
        <v>0</v>
      </c>
      <c r="N458" s="87">
        <f t="shared" ref="N458" si="78">M458+L458+K458+J458</f>
        <v>0</v>
      </c>
    </row>
    <row r="459" spans="2:14" ht="20.100000000000001" customHeight="1">
      <c r="B459" s="85" t="s">
        <v>247</v>
      </c>
      <c r="C459" s="94" t="s">
        <v>378</v>
      </c>
      <c r="D459" s="86"/>
      <c r="E459" s="86"/>
      <c r="F459" s="86"/>
      <c r="G459" s="86"/>
      <c r="H459" s="87"/>
      <c r="I459" s="86"/>
      <c r="J459" s="86">
        <v>0</v>
      </c>
      <c r="K459" s="86">
        <v>0</v>
      </c>
      <c r="L459" s="86">
        <v>0</v>
      </c>
      <c r="M459" s="86">
        <v>0</v>
      </c>
      <c r="N459" s="87">
        <f t="shared" si="77"/>
        <v>0</v>
      </c>
    </row>
    <row r="460" spans="2:14" ht="20.100000000000001" customHeight="1">
      <c r="B460" s="85" t="s">
        <v>762</v>
      </c>
      <c r="C460" s="94" t="s">
        <v>763</v>
      </c>
      <c r="D460" s="86"/>
      <c r="E460" s="86"/>
      <c r="F460" s="86"/>
      <c r="G460" s="86"/>
      <c r="H460" s="87"/>
      <c r="I460" s="86"/>
      <c r="J460" s="86"/>
      <c r="K460" s="86">
        <v>0</v>
      </c>
      <c r="L460" s="86">
        <v>0</v>
      </c>
      <c r="M460" s="86">
        <v>0</v>
      </c>
      <c r="N460" s="87">
        <f t="shared" si="77"/>
        <v>0</v>
      </c>
    </row>
    <row r="461" spans="2:14" ht="20.100000000000001" customHeight="1">
      <c r="B461" s="85" t="s">
        <v>761</v>
      </c>
      <c r="C461" s="94" t="s">
        <v>1021</v>
      </c>
      <c r="D461" s="86"/>
      <c r="E461" s="86"/>
      <c r="F461" s="86"/>
      <c r="G461" s="86"/>
      <c r="H461" s="87"/>
      <c r="I461" s="86"/>
      <c r="J461" s="86">
        <v>0</v>
      </c>
      <c r="K461" s="86">
        <v>0</v>
      </c>
      <c r="L461" s="86">
        <v>0</v>
      </c>
      <c r="M461" s="86">
        <v>0</v>
      </c>
      <c r="N461" s="87">
        <f t="shared" si="77"/>
        <v>0</v>
      </c>
    </row>
    <row r="462" spans="2:14" ht="20.100000000000001" customHeight="1">
      <c r="B462" s="85" t="s">
        <v>1133</v>
      </c>
      <c r="C462" s="94" t="s">
        <v>1134</v>
      </c>
      <c r="D462" s="86"/>
      <c r="E462" s="86"/>
      <c r="F462" s="86"/>
      <c r="G462" s="86"/>
      <c r="H462" s="87"/>
      <c r="I462" s="86"/>
      <c r="J462" s="86">
        <v>0</v>
      </c>
      <c r="K462" s="86">
        <v>0</v>
      </c>
      <c r="L462" s="86">
        <v>0</v>
      </c>
      <c r="M462" s="86">
        <v>0</v>
      </c>
      <c r="N462" s="87">
        <f t="shared" si="77"/>
        <v>0</v>
      </c>
    </row>
    <row r="463" spans="2:14" ht="20.100000000000001" customHeight="1">
      <c r="B463" s="85" t="s">
        <v>1129</v>
      </c>
      <c r="C463" s="94" t="s">
        <v>1130</v>
      </c>
      <c r="D463" s="86"/>
      <c r="E463" s="86"/>
      <c r="F463" s="86"/>
      <c r="G463" s="86"/>
      <c r="H463" s="87"/>
      <c r="I463" s="86"/>
      <c r="J463" s="86">
        <v>0</v>
      </c>
      <c r="K463" s="86">
        <v>0</v>
      </c>
      <c r="L463" s="86">
        <v>0</v>
      </c>
      <c r="M463" s="86">
        <v>0</v>
      </c>
      <c r="N463" s="87">
        <f t="shared" si="77"/>
        <v>0</v>
      </c>
    </row>
    <row r="464" spans="2:14" ht="20.100000000000001" customHeight="1">
      <c r="B464" s="85" t="s">
        <v>1131</v>
      </c>
      <c r="C464" s="94" t="s">
        <v>1132</v>
      </c>
      <c r="D464" s="86"/>
      <c r="E464" s="86"/>
      <c r="F464" s="86"/>
      <c r="G464" s="86"/>
      <c r="H464" s="87"/>
      <c r="I464" s="86"/>
      <c r="J464" s="86">
        <v>0</v>
      </c>
      <c r="K464" s="86">
        <v>0</v>
      </c>
      <c r="L464" s="86">
        <v>0</v>
      </c>
      <c r="M464" s="86">
        <v>0</v>
      </c>
      <c r="N464" s="87">
        <f t="shared" si="77"/>
        <v>0</v>
      </c>
    </row>
    <row r="465" spans="2:14" ht="20.100000000000001" customHeight="1">
      <c r="B465" s="85" t="s">
        <v>1135</v>
      </c>
      <c r="C465" s="94" t="s">
        <v>1136</v>
      </c>
      <c r="D465" s="86"/>
      <c r="E465" s="86"/>
      <c r="F465" s="86"/>
      <c r="G465" s="86"/>
      <c r="H465" s="87"/>
      <c r="I465" s="86"/>
      <c r="J465" s="86">
        <v>0</v>
      </c>
      <c r="K465" s="86">
        <v>0</v>
      </c>
      <c r="L465" s="86">
        <v>0</v>
      </c>
      <c r="M465" s="86">
        <v>0</v>
      </c>
      <c r="N465" s="87">
        <f t="shared" si="77"/>
        <v>0</v>
      </c>
    </row>
    <row r="466" spans="2:14" ht="20.100000000000001" customHeight="1">
      <c r="B466" s="85" t="s">
        <v>310</v>
      </c>
      <c r="C466" s="94" t="s">
        <v>311</v>
      </c>
      <c r="D466" s="86"/>
      <c r="E466" s="86"/>
      <c r="F466" s="86"/>
      <c r="G466" s="86"/>
      <c r="H466" s="87"/>
      <c r="I466" s="86"/>
      <c r="J466" s="86"/>
      <c r="K466" s="86">
        <v>0</v>
      </c>
      <c r="L466" s="86">
        <v>0</v>
      </c>
      <c r="M466" s="86">
        <v>0</v>
      </c>
      <c r="N466" s="87">
        <f t="shared" si="77"/>
        <v>0</v>
      </c>
    </row>
    <row r="467" spans="2:14" ht="20.100000000000001" customHeight="1">
      <c r="B467" s="85" t="s">
        <v>1146</v>
      </c>
      <c r="C467" s="94" t="s">
        <v>1147</v>
      </c>
      <c r="D467" s="86"/>
      <c r="E467" s="86"/>
      <c r="F467" s="86"/>
      <c r="G467" s="86"/>
      <c r="H467" s="87"/>
      <c r="I467" s="86"/>
      <c r="J467" s="86"/>
      <c r="K467" s="86">
        <v>0</v>
      </c>
      <c r="L467" s="86">
        <v>0</v>
      </c>
      <c r="M467" s="86">
        <v>0</v>
      </c>
      <c r="N467" s="87">
        <f t="shared" ref="N467" si="79">M467+L467+K467+J467</f>
        <v>0</v>
      </c>
    </row>
    <row r="468" spans="2:14" ht="20.100000000000001" customHeight="1">
      <c r="B468" s="85" t="s">
        <v>312</v>
      </c>
      <c r="C468" s="94" t="s">
        <v>313</v>
      </c>
      <c r="D468" s="86"/>
      <c r="E468" s="86"/>
      <c r="F468" s="86"/>
      <c r="G468" s="86"/>
      <c r="H468" s="87"/>
      <c r="I468" s="86"/>
      <c r="J468" s="86"/>
      <c r="K468" s="86">
        <v>0</v>
      </c>
      <c r="L468" s="86">
        <v>0</v>
      </c>
      <c r="M468" s="86">
        <v>0</v>
      </c>
      <c r="N468" s="87">
        <f t="shared" si="77"/>
        <v>0</v>
      </c>
    </row>
    <row r="469" spans="2:14" ht="20.100000000000001" customHeight="1">
      <c r="B469" s="85" t="s">
        <v>312</v>
      </c>
      <c r="C469" s="94" t="s">
        <v>1128</v>
      </c>
      <c r="D469" s="86"/>
      <c r="E469" s="86"/>
      <c r="F469" s="86"/>
      <c r="G469" s="86"/>
      <c r="H469" s="87"/>
      <c r="I469" s="86"/>
      <c r="J469" s="86"/>
      <c r="K469" s="86">
        <v>0</v>
      </c>
      <c r="L469" s="86">
        <v>0</v>
      </c>
      <c r="M469" s="86">
        <v>0</v>
      </c>
      <c r="N469" s="87">
        <f t="shared" si="77"/>
        <v>0</v>
      </c>
    </row>
    <row r="470" spans="2:14" ht="20.100000000000001" customHeight="1">
      <c r="B470" s="85" t="s">
        <v>790</v>
      </c>
      <c r="C470" s="94" t="s">
        <v>764</v>
      </c>
      <c r="D470" s="86"/>
      <c r="E470" s="86"/>
      <c r="F470" s="86"/>
      <c r="G470" s="86"/>
      <c r="H470" s="87"/>
      <c r="I470" s="86"/>
      <c r="J470" s="86"/>
      <c r="K470" s="86">
        <v>0</v>
      </c>
      <c r="L470" s="86">
        <v>0</v>
      </c>
      <c r="M470" s="86">
        <v>0</v>
      </c>
      <c r="N470" s="87">
        <f t="shared" si="77"/>
        <v>0</v>
      </c>
    </row>
    <row r="471" spans="2:14" ht="20.100000000000001" customHeight="1">
      <c r="B471" s="85" t="s">
        <v>1124</v>
      </c>
      <c r="C471" s="94" t="s">
        <v>1125</v>
      </c>
      <c r="D471" s="86"/>
      <c r="E471" s="86"/>
      <c r="F471" s="86"/>
      <c r="G471" s="86"/>
      <c r="H471" s="87"/>
      <c r="I471" s="86"/>
      <c r="J471" s="86">
        <v>0</v>
      </c>
      <c r="K471" s="86">
        <v>0</v>
      </c>
      <c r="L471" s="86">
        <v>0</v>
      </c>
      <c r="M471" s="86">
        <v>0</v>
      </c>
      <c r="N471" s="87">
        <f t="shared" si="77"/>
        <v>0</v>
      </c>
    </row>
    <row r="472" spans="2:14" ht="20.100000000000001" customHeight="1">
      <c r="B472" s="85" t="s">
        <v>483</v>
      </c>
      <c r="C472" s="94" t="s">
        <v>484</v>
      </c>
      <c r="D472" s="86"/>
      <c r="E472" s="86"/>
      <c r="F472" s="86"/>
      <c r="G472" s="86"/>
      <c r="H472" s="87"/>
      <c r="I472" s="86"/>
      <c r="J472" s="86">
        <v>0</v>
      </c>
      <c r="K472" s="86">
        <v>0</v>
      </c>
      <c r="L472" s="86">
        <v>0</v>
      </c>
      <c r="M472" s="86">
        <v>0</v>
      </c>
      <c r="N472" s="87">
        <f t="shared" si="77"/>
        <v>0</v>
      </c>
    </row>
    <row r="473" spans="2:14" ht="20.100000000000001" customHeight="1">
      <c r="B473" s="85" t="s">
        <v>485</v>
      </c>
      <c r="C473" s="94" t="s">
        <v>486</v>
      </c>
      <c r="D473" s="86"/>
      <c r="E473" s="86"/>
      <c r="F473" s="86"/>
      <c r="G473" s="86"/>
      <c r="H473" s="87"/>
      <c r="I473" s="86"/>
      <c r="J473" s="86">
        <v>0</v>
      </c>
      <c r="K473" s="86">
        <v>0</v>
      </c>
      <c r="L473" s="86">
        <v>0</v>
      </c>
      <c r="M473" s="86">
        <v>0</v>
      </c>
      <c r="N473" s="87">
        <f t="shared" si="77"/>
        <v>0</v>
      </c>
    </row>
    <row r="474" spans="2:14" ht="20.100000000000001" customHeight="1">
      <c r="B474" s="85" t="s">
        <v>304</v>
      </c>
      <c r="C474" s="94" t="s">
        <v>305</v>
      </c>
      <c r="D474" s="86"/>
      <c r="E474" s="86"/>
      <c r="F474" s="86"/>
      <c r="G474" s="86"/>
      <c r="H474" s="87"/>
      <c r="I474" s="86"/>
      <c r="J474" s="86">
        <v>0</v>
      </c>
      <c r="K474" s="86">
        <v>0</v>
      </c>
      <c r="L474" s="86">
        <v>0</v>
      </c>
      <c r="M474" s="86">
        <v>0</v>
      </c>
      <c r="N474" s="87">
        <f t="shared" si="77"/>
        <v>0</v>
      </c>
    </row>
    <row r="475" spans="2:14" ht="20.100000000000001" customHeight="1">
      <c r="B475" s="85" t="s">
        <v>306</v>
      </c>
      <c r="C475" s="94" t="s">
        <v>307</v>
      </c>
      <c r="D475" s="86"/>
      <c r="E475" s="86"/>
      <c r="F475" s="86"/>
      <c r="G475" s="86"/>
      <c r="H475" s="87"/>
      <c r="I475" s="86"/>
      <c r="J475" s="86">
        <v>0</v>
      </c>
      <c r="K475" s="86">
        <v>0</v>
      </c>
      <c r="L475" s="86">
        <v>0</v>
      </c>
      <c r="M475" s="86">
        <v>0</v>
      </c>
      <c r="N475" s="87">
        <f t="shared" si="77"/>
        <v>0</v>
      </c>
    </row>
    <row r="476" spans="2:14" ht="20.100000000000001" customHeight="1">
      <c r="B476" s="85" t="s">
        <v>308</v>
      </c>
      <c r="C476" s="94" t="s">
        <v>309</v>
      </c>
      <c r="D476" s="86"/>
      <c r="E476" s="86"/>
      <c r="F476" s="86"/>
      <c r="G476" s="86"/>
      <c r="H476" s="87"/>
      <c r="I476" s="86"/>
      <c r="J476" s="86">
        <v>0</v>
      </c>
      <c r="K476" s="86">
        <v>0</v>
      </c>
      <c r="L476" s="86">
        <v>0</v>
      </c>
      <c r="M476" s="86">
        <v>0</v>
      </c>
      <c r="N476" s="87">
        <f t="shared" si="77"/>
        <v>0</v>
      </c>
    </row>
    <row r="477" spans="2:14" ht="20.100000000000001" customHeight="1">
      <c r="B477" s="85" t="s">
        <v>487</v>
      </c>
      <c r="C477" s="94" t="s">
        <v>488</v>
      </c>
      <c r="D477" s="86"/>
      <c r="E477" s="86"/>
      <c r="F477" s="86"/>
      <c r="G477" s="86"/>
      <c r="H477" s="87"/>
      <c r="I477" s="86"/>
      <c r="J477" s="86">
        <v>0</v>
      </c>
      <c r="K477" s="86">
        <v>0</v>
      </c>
      <c r="L477" s="86">
        <v>0</v>
      </c>
      <c r="M477" s="86">
        <v>0</v>
      </c>
      <c r="N477" s="87">
        <f t="shared" si="77"/>
        <v>0</v>
      </c>
    </row>
    <row r="478" spans="2:14" ht="20.100000000000001" customHeight="1">
      <c r="B478" s="85" t="s">
        <v>489</v>
      </c>
      <c r="C478" s="94" t="s">
        <v>490</v>
      </c>
      <c r="D478" s="86"/>
      <c r="E478" s="86"/>
      <c r="F478" s="86"/>
      <c r="G478" s="86"/>
      <c r="H478" s="87"/>
      <c r="I478" s="86"/>
      <c r="J478" s="86">
        <v>0</v>
      </c>
      <c r="K478" s="86">
        <v>0</v>
      </c>
      <c r="L478" s="86">
        <v>0</v>
      </c>
      <c r="M478" s="86">
        <v>0</v>
      </c>
      <c r="N478" s="87">
        <f t="shared" si="77"/>
        <v>0</v>
      </c>
    </row>
    <row r="479" spans="2:14" ht="20.100000000000001" customHeight="1">
      <c r="B479" s="85" t="s">
        <v>489</v>
      </c>
      <c r="C479" s="94" t="s">
        <v>1301</v>
      </c>
      <c r="D479" s="86"/>
      <c r="E479" s="86"/>
      <c r="F479" s="86"/>
      <c r="G479" s="86"/>
      <c r="H479" s="87"/>
      <c r="I479" s="86"/>
      <c r="J479" s="86">
        <v>0</v>
      </c>
      <c r="K479" s="86">
        <v>0</v>
      </c>
      <c r="L479" s="86">
        <v>0</v>
      </c>
      <c r="M479" s="86">
        <v>0</v>
      </c>
      <c r="N479" s="87">
        <f t="shared" ref="N479" si="80">M479+L479+K479+J479</f>
        <v>0</v>
      </c>
    </row>
    <row r="480" spans="2:14" ht="20.100000000000001" customHeight="1">
      <c r="B480" s="101" t="s">
        <v>1126</v>
      </c>
      <c r="C480" s="85" t="s">
        <v>1127</v>
      </c>
      <c r="D480" s="86"/>
      <c r="E480" s="86"/>
      <c r="F480" s="86"/>
      <c r="G480" s="86"/>
      <c r="H480" s="87"/>
      <c r="I480" s="86"/>
      <c r="J480" s="86">
        <v>0</v>
      </c>
      <c r="K480" s="86">
        <v>0</v>
      </c>
      <c r="L480" s="86">
        <v>0</v>
      </c>
      <c r="M480" s="86">
        <v>0</v>
      </c>
      <c r="N480" s="87">
        <f t="shared" ref="N480:N507" si="81">M480+L480+K480+J480</f>
        <v>0</v>
      </c>
    </row>
    <row r="481" spans="2:14" ht="20.100000000000001" customHeight="1">
      <c r="B481" s="101" t="s">
        <v>673</v>
      </c>
      <c r="C481" s="85" t="s">
        <v>1014</v>
      </c>
      <c r="D481" s="86"/>
      <c r="E481" s="86"/>
      <c r="F481" s="86"/>
      <c r="G481" s="86"/>
      <c r="H481" s="87"/>
      <c r="I481" s="86"/>
      <c r="J481" s="86">
        <v>0</v>
      </c>
      <c r="K481" s="86">
        <v>0</v>
      </c>
      <c r="L481" s="86">
        <v>0</v>
      </c>
      <c r="M481" s="86">
        <v>0</v>
      </c>
      <c r="N481" s="87">
        <f t="shared" si="81"/>
        <v>0</v>
      </c>
    </row>
    <row r="482" spans="2:14" ht="20.100000000000001" customHeight="1">
      <c r="B482" s="101" t="s">
        <v>675</v>
      </c>
      <c r="C482" s="85" t="s">
        <v>1013</v>
      </c>
      <c r="D482" s="86"/>
      <c r="E482" s="86"/>
      <c r="F482" s="86"/>
      <c r="G482" s="86"/>
      <c r="H482" s="87"/>
      <c r="I482" s="86"/>
      <c r="J482" s="86">
        <v>0</v>
      </c>
      <c r="K482" s="86">
        <v>0</v>
      </c>
      <c r="L482" s="86">
        <v>0</v>
      </c>
      <c r="M482" s="86">
        <v>0</v>
      </c>
      <c r="N482" s="87">
        <f t="shared" si="81"/>
        <v>0</v>
      </c>
    </row>
    <row r="483" spans="2:14" ht="20.100000000000001" customHeight="1">
      <c r="B483" s="101" t="s">
        <v>1010</v>
      </c>
      <c r="C483" s="85" t="s">
        <v>1011</v>
      </c>
      <c r="D483" s="86"/>
      <c r="E483" s="86"/>
      <c r="F483" s="86"/>
      <c r="G483" s="86"/>
      <c r="H483" s="87"/>
      <c r="I483" s="86"/>
      <c r="J483" s="86">
        <v>0</v>
      </c>
      <c r="K483" s="86">
        <v>0</v>
      </c>
      <c r="L483" s="86">
        <v>0</v>
      </c>
      <c r="M483" s="86">
        <v>0</v>
      </c>
      <c r="N483" s="87">
        <f t="shared" si="81"/>
        <v>0</v>
      </c>
    </row>
    <row r="484" spans="2:14" ht="20.100000000000001" customHeight="1">
      <c r="B484" s="101" t="s">
        <v>1012</v>
      </c>
      <c r="C484" s="85" t="s">
        <v>1013</v>
      </c>
      <c r="D484" s="86"/>
      <c r="E484" s="86"/>
      <c r="F484" s="86"/>
      <c r="G484" s="86"/>
      <c r="H484" s="87"/>
      <c r="I484" s="86"/>
      <c r="J484" s="86">
        <v>0</v>
      </c>
      <c r="K484" s="86">
        <v>0</v>
      </c>
      <c r="L484" s="86">
        <v>0</v>
      </c>
      <c r="M484" s="86">
        <v>0</v>
      </c>
      <c r="N484" s="87">
        <f t="shared" si="81"/>
        <v>0</v>
      </c>
    </row>
    <row r="485" spans="2:14" ht="20.100000000000001" customHeight="1">
      <c r="B485" s="101" t="s">
        <v>1265</v>
      </c>
      <c r="C485" s="85" t="s">
        <v>1266</v>
      </c>
      <c r="D485" s="86"/>
      <c r="E485" s="86"/>
      <c r="F485" s="86"/>
      <c r="G485" s="86"/>
      <c r="H485" s="87"/>
      <c r="I485" s="86"/>
      <c r="J485" s="86">
        <v>0</v>
      </c>
      <c r="K485" s="86">
        <v>0</v>
      </c>
      <c r="L485" s="86">
        <v>0</v>
      </c>
      <c r="M485" s="86">
        <v>0</v>
      </c>
      <c r="N485" s="87">
        <f t="shared" ref="N485" si="82">M485+L485+K485+J485</f>
        <v>0</v>
      </c>
    </row>
    <row r="486" spans="2:14" ht="20.100000000000001" customHeight="1">
      <c r="B486" s="101" t="s">
        <v>822</v>
      </c>
      <c r="C486" s="85" t="s">
        <v>1015</v>
      </c>
      <c r="D486" s="86"/>
      <c r="E486" s="86"/>
      <c r="F486" s="86"/>
      <c r="G486" s="86"/>
      <c r="H486" s="87"/>
      <c r="I486" s="86"/>
      <c r="J486" s="86">
        <v>0</v>
      </c>
      <c r="K486" s="86">
        <v>0</v>
      </c>
      <c r="L486" s="86">
        <v>0</v>
      </c>
      <c r="M486" s="86">
        <v>0</v>
      </c>
      <c r="N486" s="87">
        <f t="shared" si="81"/>
        <v>0</v>
      </c>
    </row>
    <row r="487" spans="2:14" ht="20.100000000000001" customHeight="1">
      <c r="B487" s="101" t="s">
        <v>789</v>
      </c>
      <c r="C487" s="85" t="s">
        <v>1016</v>
      </c>
      <c r="D487" s="86"/>
      <c r="E487" s="86"/>
      <c r="F487" s="86"/>
      <c r="G487" s="86"/>
      <c r="H487" s="87"/>
      <c r="I487" s="86"/>
      <c r="J487" s="86">
        <v>0</v>
      </c>
      <c r="K487" s="86">
        <v>0</v>
      </c>
      <c r="L487" s="86">
        <v>0</v>
      </c>
      <c r="M487" s="86">
        <v>0</v>
      </c>
      <c r="N487" s="87">
        <f t="shared" si="81"/>
        <v>0</v>
      </c>
    </row>
    <row r="488" spans="2:14" ht="20.100000000000001" customHeight="1">
      <c r="B488" s="101" t="s">
        <v>820</v>
      </c>
      <c r="C488" s="85" t="s">
        <v>1017</v>
      </c>
      <c r="D488" s="86"/>
      <c r="E488" s="86"/>
      <c r="F488" s="86"/>
      <c r="G488" s="86"/>
      <c r="H488" s="87"/>
      <c r="I488" s="86"/>
      <c r="J488" s="86">
        <v>0</v>
      </c>
      <c r="K488" s="86">
        <v>0</v>
      </c>
      <c r="L488" s="86">
        <v>0</v>
      </c>
      <c r="M488" s="86">
        <v>0</v>
      </c>
      <c r="N488" s="87">
        <f t="shared" si="81"/>
        <v>0</v>
      </c>
    </row>
    <row r="489" spans="2:14" ht="20.100000000000001" customHeight="1">
      <c r="B489" s="101" t="s">
        <v>731</v>
      </c>
      <c r="C489" s="85" t="s">
        <v>1018</v>
      </c>
      <c r="D489" s="86"/>
      <c r="E489" s="86"/>
      <c r="F489" s="86"/>
      <c r="G489" s="86"/>
      <c r="H489" s="87"/>
      <c r="I489" s="86"/>
      <c r="J489" s="86">
        <v>0</v>
      </c>
      <c r="K489" s="86">
        <v>0</v>
      </c>
      <c r="L489" s="86">
        <v>0</v>
      </c>
      <c r="M489" s="86">
        <v>0</v>
      </c>
      <c r="N489" s="87">
        <f t="shared" si="81"/>
        <v>0</v>
      </c>
    </row>
    <row r="490" spans="2:14" ht="20.100000000000001" customHeight="1">
      <c r="B490" s="101" t="s">
        <v>829</v>
      </c>
      <c r="C490" s="85" t="s">
        <v>1019</v>
      </c>
      <c r="D490" s="86"/>
      <c r="E490" s="86"/>
      <c r="F490" s="86"/>
      <c r="G490" s="86"/>
      <c r="H490" s="87"/>
      <c r="I490" s="86"/>
      <c r="J490" s="86">
        <v>0</v>
      </c>
      <c r="K490" s="86">
        <v>0</v>
      </c>
      <c r="L490" s="86">
        <v>0</v>
      </c>
      <c r="M490" s="86">
        <v>0</v>
      </c>
      <c r="N490" s="87">
        <f t="shared" si="81"/>
        <v>0</v>
      </c>
    </row>
    <row r="491" spans="2:14" ht="20.100000000000001" customHeight="1">
      <c r="B491" s="101" t="s">
        <v>1073</v>
      </c>
      <c r="C491" s="85" t="s">
        <v>1074</v>
      </c>
      <c r="D491" s="86"/>
      <c r="E491" s="86"/>
      <c r="F491" s="86"/>
      <c r="G491" s="86"/>
      <c r="H491" s="87"/>
      <c r="I491" s="86"/>
      <c r="J491" s="86">
        <v>0</v>
      </c>
      <c r="K491" s="86">
        <v>0</v>
      </c>
      <c r="L491" s="86">
        <v>0</v>
      </c>
      <c r="M491" s="86">
        <v>0</v>
      </c>
      <c r="N491" s="87">
        <f t="shared" si="81"/>
        <v>0</v>
      </c>
    </row>
    <row r="492" spans="2:14" ht="20.100000000000001" customHeight="1">
      <c r="B492" s="101" t="s">
        <v>831</v>
      </c>
      <c r="C492" s="85" t="s">
        <v>1020</v>
      </c>
      <c r="D492" s="86"/>
      <c r="E492" s="86"/>
      <c r="F492" s="86"/>
      <c r="G492" s="86"/>
      <c r="H492" s="87"/>
      <c r="I492" s="86"/>
      <c r="J492" s="86">
        <v>0</v>
      </c>
      <c r="K492" s="86">
        <v>0</v>
      </c>
      <c r="L492" s="86">
        <v>0</v>
      </c>
      <c r="M492" s="86">
        <v>0</v>
      </c>
      <c r="N492" s="87">
        <f t="shared" si="81"/>
        <v>0</v>
      </c>
    </row>
    <row r="493" spans="2:14" ht="20.100000000000001" customHeight="1">
      <c r="B493" s="101" t="s">
        <v>475</v>
      </c>
      <c r="C493" s="94" t="s">
        <v>476</v>
      </c>
      <c r="D493" s="86"/>
      <c r="E493" s="86"/>
      <c r="F493" s="86"/>
      <c r="G493" s="86"/>
      <c r="H493" s="87"/>
      <c r="I493" s="86"/>
      <c r="J493" s="86">
        <v>0</v>
      </c>
      <c r="K493" s="86">
        <v>0</v>
      </c>
      <c r="L493" s="86"/>
      <c r="M493" s="86">
        <v>0</v>
      </c>
      <c r="N493" s="87">
        <f t="shared" si="81"/>
        <v>0</v>
      </c>
    </row>
    <row r="494" spans="2:14" ht="20.100000000000001" customHeight="1">
      <c r="B494" s="101" t="s">
        <v>477</v>
      </c>
      <c r="C494" s="94" t="s">
        <v>478</v>
      </c>
      <c r="D494" s="86"/>
      <c r="E494" s="86"/>
      <c r="F494" s="86"/>
      <c r="G494" s="86"/>
      <c r="H494" s="87"/>
      <c r="I494" s="86"/>
      <c r="J494" s="86">
        <v>0</v>
      </c>
      <c r="K494" s="86">
        <v>0</v>
      </c>
      <c r="L494" s="86">
        <v>0</v>
      </c>
      <c r="M494" s="86">
        <v>0</v>
      </c>
      <c r="N494" s="87">
        <f t="shared" si="81"/>
        <v>0</v>
      </c>
    </row>
    <row r="495" spans="2:14" ht="20.100000000000001" customHeight="1">
      <c r="B495" s="101" t="s">
        <v>479</v>
      </c>
      <c r="C495" s="94" t="s">
        <v>480</v>
      </c>
      <c r="D495" s="86"/>
      <c r="E495" s="86"/>
      <c r="F495" s="86"/>
      <c r="G495" s="86"/>
      <c r="H495" s="87"/>
      <c r="I495" s="86"/>
      <c r="J495" s="86">
        <v>0</v>
      </c>
      <c r="K495" s="86">
        <v>0</v>
      </c>
      <c r="L495" s="86"/>
      <c r="M495" s="86">
        <v>0</v>
      </c>
      <c r="N495" s="87">
        <f t="shared" si="81"/>
        <v>0</v>
      </c>
    </row>
    <row r="496" spans="2:14" ht="20.100000000000001" customHeight="1">
      <c r="B496" s="101" t="s">
        <v>1087</v>
      </c>
      <c r="C496" s="94" t="s">
        <v>1088</v>
      </c>
      <c r="D496" s="86"/>
      <c r="E496" s="86"/>
      <c r="F496" s="86"/>
      <c r="G496" s="86"/>
      <c r="H496" s="87"/>
      <c r="I496" s="86"/>
      <c r="J496" s="86">
        <v>0</v>
      </c>
      <c r="K496" s="86">
        <v>0</v>
      </c>
      <c r="L496" s="86"/>
      <c r="M496" s="86">
        <v>0</v>
      </c>
      <c r="N496" s="87">
        <f t="shared" si="81"/>
        <v>0</v>
      </c>
    </row>
    <row r="497" spans="2:14" ht="20.100000000000001" customHeight="1">
      <c r="B497" s="101" t="s">
        <v>1283</v>
      </c>
      <c r="C497" s="94" t="s">
        <v>1284</v>
      </c>
      <c r="D497" s="86"/>
      <c r="E497" s="86"/>
      <c r="F497" s="86"/>
      <c r="G497" s="86"/>
      <c r="H497" s="87"/>
      <c r="I497" s="86"/>
      <c r="J497" s="86">
        <v>0</v>
      </c>
      <c r="K497" s="86">
        <v>0</v>
      </c>
      <c r="L497" s="86"/>
      <c r="M497" s="86">
        <v>0</v>
      </c>
      <c r="N497" s="87">
        <f t="shared" ref="N497" si="83">M497+L497+K497+J497</f>
        <v>0</v>
      </c>
    </row>
    <row r="498" spans="2:14" ht="20.100000000000001" customHeight="1">
      <c r="B498" s="101" t="s">
        <v>874</v>
      </c>
      <c r="C498" s="94" t="s">
        <v>875</v>
      </c>
      <c r="D498" s="86"/>
      <c r="E498" s="86"/>
      <c r="F498" s="86"/>
      <c r="G498" s="86"/>
      <c r="H498" s="87"/>
      <c r="I498" s="86"/>
      <c r="J498" s="86">
        <v>0</v>
      </c>
      <c r="K498" s="86">
        <v>0</v>
      </c>
      <c r="L498" s="86"/>
      <c r="M498" s="86">
        <v>0</v>
      </c>
      <c r="N498" s="87">
        <f t="shared" si="81"/>
        <v>0</v>
      </c>
    </row>
    <row r="499" spans="2:14" ht="20.100000000000001" customHeight="1">
      <c r="B499" s="101" t="s">
        <v>976</v>
      </c>
      <c r="C499" s="94" t="s">
        <v>977</v>
      </c>
      <c r="D499" s="86"/>
      <c r="E499" s="86"/>
      <c r="F499" s="86"/>
      <c r="G499" s="86"/>
      <c r="H499" s="87"/>
      <c r="I499" s="86"/>
      <c r="J499" s="86">
        <v>0</v>
      </c>
      <c r="K499" s="86">
        <v>0</v>
      </c>
      <c r="L499" s="86"/>
      <c r="M499" s="86">
        <v>0</v>
      </c>
      <c r="N499" s="87">
        <f t="shared" si="81"/>
        <v>0</v>
      </c>
    </row>
    <row r="500" spans="2:14" ht="20.100000000000001" customHeight="1">
      <c r="B500" s="101" t="s">
        <v>812</v>
      </c>
      <c r="C500" s="94" t="s">
        <v>813</v>
      </c>
      <c r="D500" s="86"/>
      <c r="E500" s="86"/>
      <c r="F500" s="86"/>
      <c r="G500" s="86"/>
      <c r="H500" s="87"/>
      <c r="I500" s="86"/>
      <c r="J500" s="86">
        <v>0</v>
      </c>
      <c r="K500" s="86">
        <v>0</v>
      </c>
      <c r="L500" s="86">
        <v>0</v>
      </c>
      <c r="M500" s="86">
        <v>0</v>
      </c>
      <c r="N500" s="87">
        <f t="shared" si="81"/>
        <v>0</v>
      </c>
    </row>
    <row r="501" spans="2:14" ht="20.100000000000001" customHeight="1">
      <c r="B501" s="101" t="s">
        <v>857</v>
      </c>
      <c r="C501" s="94" t="s">
        <v>858</v>
      </c>
      <c r="D501" s="86"/>
      <c r="E501" s="86"/>
      <c r="F501" s="86"/>
      <c r="G501" s="86"/>
      <c r="H501" s="87"/>
      <c r="I501" s="86"/>
      <c r="J501" s="86">
        <v>0</v>
      </c>
      <c r="K501" s="86">
        <v>0</v>
      </c>
      <c r="L501" s="86">
        <v>0</v>
      </c>
      <c r="M501" s="86">
        <v>0</v>
      </c>
      <c r="N501" s="87">
        <f t="shared" si="81"/>
        <v>0</v>
      </c>
    </row>
    <row r="502" spans="2:14" ht="20.100000000000001" customHeight="1">
      <c r="B502" s="101" t="s">
        <v>1048</v>
      </c>
      <c r="C502" s="94" t="s">
        <v>1049</v>
      </c>
      <c r="D502" s="86"/>
      <c r="E502" s="86"/>
      <c r="F502" s="86"/>
      <c r="G502" s="86"/>
      <c r="H502" s="87"/>
      <c r="I502" s="86"/>
      <c r="J502" s="86">
        <v>0</v>
      </c>
      <c r="K502" s="86">
        <v>0</v>
      </c>
      <c r="L502" s="86">
        <v>0</v>
      </c>
      <c r="M502" s="86">
        <v>0</v>
      </c>
      <c r="N502" s="87">
        <f t="shared" si="81"/>
        <v>0</v>
      </c>
    </row>
    <row r="503" spans="2:14" ht="20.100000000000001" customHeight="1">
      <c r="B503" s="101" t="s">
        <v>1050</v>
      </c>
      <c r="C503" s="94" t="s">
        <v>1051</v>
      </c>
      <c r="D503" s="86"/>
      <c r="E503" s="86"/>
      <c r="F503" s="86"/>
      <c r="G503" s="86"/>
      <c r="H503" s="87"/>
      <c r="I503" s="86"/>
      <c r="J503" s="86">
        <v>0</v>
      </c>
      <c r="K503" s="86">
        <v>0</v>
      </c>
      <c r="L503" s="86">
        <v>0</v>
      </c>
      <c r="M503" s="86">
        <v>0</v>
      </c>
      <c r="N503" s="87">
        <f t="shared" si="81"/>
        <v>0</v>
      </c>
    </row>
    <row r="504" spans="2:14" ht="20.100000000000001" customHeight="1">
      <c r="B504" s="85" t="s">
        <v>279</v>
      </c>
      <c r="C504" s="94" t="s">
        <v>280</v>
      </c>
      <c r="D504" s="86"/>
      <c r="E504" s="86"/>
      <c r="F504" s="86"/>
      <c r="G504" s="86"/>
      <c r="H504" s="87"/>
      <c r="I504" s="86"/>
      <c r="J504" s="86">
        <v>0</v>
      </c>
      <c r="K504" s="86">
        <v>0</v>
      </c>
      <c r="L504" s="86">
        <v>0</v>
      </c>
      <c r="M504" s="86">
        <v>0</v>
      </c>
      <c r="N504" s="87">
        <f t="shared" si="81"/>
        <v>0</v>
      </c>
    </row>
    <row r="505" spans="2:14" ht="20.100000000000001" customHeight="1">
      <c r="B505" s="85" t="s">
        <v>281</v>
      </c>
      <c r="C505" s="94" t="s">
        <v>282</v>
      </c>
      <c r="D505" s="86"/>
      <c r="E505" s="86"/>
      <c r="F505" s="86"/>
      <c r="G505" s="86"/>
      <c r="H505" s="87"/>
      <c r="I505" s="86"/>
      <c r="J505" s="86">
        <v>0</v>
      </c>
      <c r="K505" s="86">
        <v>0</v>
      </c>
      <c r="L505" s="86">
        <v>0</v>
      </c>
      <c r="M505" s="86">
        <v>0</v>
      </c>
      <c r="N505" s="87">
        <f t="shared" si="81"/>
        <v>0</v>
      </c>
    </row>
    <row r="506" spans="2:14" ht="20.100000000000001" customHeight="1">
      <c r="B506" s="85" t="s">
        <v>283</v>
      </c>
      <c r="C506" s="94" t="s">
        <v>284</v>
      </c>
      <c r="D506" s="86"/>
      <c r="E506" s="86"/>
      <c r="F506" s="86"/>
      <c r="G506" s="86"/>
      <c r="H506" s="87"/>
      <c r="I506" s="86"/>
      <c r="J506" s="86">
        <v>0</v>
      </c>
      <c r="K506" s="86">
        <v>0</v>
      </c>
      <c r="L506" s="86">
        <v>0</v>
      </c>
      <c r="M506" s="86">
        <v>0</v>
      </c>
      <c r="N506" s="87">
        <f t="shared" si="81"/>
        <v>0</v>
      </c>
    </row>
    <row r="507" spans="2:14" ht="20.100000000000001" customHeight="1">
      <c r="B507" s="85" t="s">
        <v>285</v>
      </c>
      <c r="C507" s="94" t="s">
        <v>286</v>
      </c>
      <c r="D507" s="86"/>
      <c r="E507" s="86"/>
      <c r="F507" s="86"/>
      <c r="G507" s="86"/>
      <c r="H507" s="87"/>
      <c r="I507" s="86"/>
      <c r="J507" s="86">
        <v>0</v>
      </c>
      <c r="K507" s="86">
        <v>0</v>
      </c>
      <c r="L507" s="86">
        <v>0</v>
      </c>
      <c r="M507" s="86">
        <v>0</v>
      </c>
      <c r="N507" s="87">
        <f t="shared" si="81"/>
        <v>0</v>
      </c>
    </row>
    <row r="508" spans="2:14" ht="20.100000000000001" customHeight="1">
      <c r="B508" s="85" t="s">
        <v>287</v>
      </c>
      <c r="C508" s="94" t="s">
        <v>288</v>
      </c>
      <c r="D508" s="86"/>
      <c r="E508" s="86"/>
      <c r="F508" s="86"/>
      <c r="G508" s="86"/>
      <c r="H508" s="87"/>
      <c r="I508" s="86"/>
      <c r="J508" s="86">
        <v>0</v>
      </c>
      <c r="K508" s="86"/>
      <c r="L508" s="86">
        <v>0</v>
      </c>
      <c r="M508" s="86">
        <v>0</v>
      </c>
      <c r="N508" s="87">
        <f t="shared" ref="N508:N535" si="84">M508+L508+K508+J508</f>
        <v>0</v>
      </c>
    </row>
    <row r="509" spans="2:14" ht="20.100000000000001" customHeight="1">
      <c r="B509" s="85" t="s">
        <v>289</v>
      </c>
      <c r="C509" s="94" t="s">
        <v>290</v>
      </c>
      <c r="D509" s="86"/>
      <c r="E509" s="86"/>
      <c r="F509" s="86"/>
      <c r="G509" s="86"/>
      <c r="H509" s="87"/>
      <c r="I509" s="86"/>
      <c r="J509" s="86">
        <v>0</v>
      </c>
      <c r="K509" s="86">
        <v>0</v>
      </c>
      <c r="L509" s="86">
        <v>0</v>
      </c>
      <c r="M509" s="86">
        <v>0</v>
      </c>
      <c r="N509" s="87">
        <f t="shared" si="84"/>
        <v>0</v>
      </c>
    </row>
    <row r="510" spans="2:14" ht="20.100000000000001" customHeight="1">
      <c r="B510" s="85" t="s">
        <v>289</v>
      </c>
      <c r="C510" s="94" t="s">
        <v>1123</v>
      </c>
      <c r="D510" s="86"/>
      <c r="E510" s="86"/>
      <c r="F510" s="86"/>
      <c r="G510" s="86"/>
      <c r="H510" s="87"/>
      <c r="I510" s="86"/>
      <c r="J510" s="86">
        <v>0</v>
      </c>
      <c r="K510" s="86">
        <v>0</v>
      </c>
      <c r="L510" s="86">
        <v>0</v>
      </c>
      <c r="M510" s="86">
        <v>0</v>
      </c>
      <c r="N510" s="87">
        <f t="shared" si="84"/>
        <v>0</v>
      </c>
    </row>
    <row r="511" spans="2:14" ht="20.100000000000001" customHeight="1">
      <c r="B511" s="85" t="s">
        <v>291</v>
      </c>
      <c r="C511" s="94" t="s">
        <v>292</v>
      </c>
      <c r="D511" s="86"/>
      <c r="E511" s="86"/>
      <c r="F511" s="86"/>
      <c r="G511" s="86"/>
      <c r="H511" s="87"/>
      <c r="I511" s="86"/>
      <c r="J511" s="86">
        <v>0</v>
      </c>
      <c r="K511" s="86">
        <v>0</v>
      </c>
      <c r="L511" s="86">
        <v>0</v>
      </c>
      <c r="M511" s="86">
        <v>0</v>
      </c>
      <c r="N511" s="87">
        <f t="shared" si="84"/>
        <v>0</v>
      </c>
    </row>
    <row r="512" spans="2:14" ht="20.100000000000001" customHeight="1">
      <c r="B512" s="85" t="s">
        <v>293</v>
      </c>
      <c r="C512" s="94" t="s">
        <v>294</v>
      </c>
      <c r="D512" s="86"/>
      <c r="E512" s="86"/>
      <c r="F512" s="86"/>
      <c r="G512" s="86"/>
      <c r="H512" s="87"/>
      <c r="I512" s="86"/>
      <c r="J512" s="86">
        <v>0</v>
      </c>
      <c r="K512" s="86">
        <v>0</v>
      </c>
      <c r="L512" s="86">
        <v>0</v>
      </c>
      <c r="M512" s="86">
        <v>0</v>
      </c>
      <c r="N512" s="87">
        <f t="shared" si="84"/>
        <v>0</v>
      </c>
    </row>
    <row r="513" spans="2:14" ht="20.100000000000001" customHeight="1">
      <c r="B513" s="85" t="s">
        <v>297</v>
      </c>
      <c r="C513" s="94" t="s">
        <v>1009</v>
      </c>
      <c r="D513" s="86"/>
      <c r="E513" s="86"/>
      <c r="F513" s="86"/>
      <c r="G513" s="86"/>
      <c r="H513" s="87"/>
      <c r="I513" s="86"/>
      <c r="J513" s="86">
        <v>0</v>
      </c>
      <c r="K513" s="86">
        <v>0</v>
      </c>
      <c r="L513" s="86">
        <v>0</v>
      </c>
      <c r="M513" s="86">
        <v>0</v>
      </c>
      <c r="N513" s="87">
        <f t="shared" si="84"/>
        <v>0</v>
      </c>
    </row>
    <row r="514" spans="2:14" ht="20.100000000000001" customHeight="1">
      <c r="B514" s="85" t="s">
        <v>967</v>
      </c>
      <c r="C514" s="94" t="s">
        <v>968</v>
      </c>
      <c r="D514" s="86"/>
      <c r="E514" s="86"/>
      <c r="F514" s="86"/>
      <c r="G514" s="86"/>
      <c r="H514" s="87"/>
      <c r="I514" s="86"/>
      <c r="J514" s="86">
        <v>0</v>
      </c>
      <c r="K514" s="86">
        <v>0</v>
      </c>
      <c r="L514" s="86">
        <v>0</v>
      </c>
      <c r="M514" s="86">
        <v>0</v>
      </c>
      <c r="N514" s="87">
        <f t="shared" si="84"/>
        <v>0</v>
      </c>
    </row>
    <row r="515" spans="2:14" ht="20.100000000000001" customHeight="1">
      <c r="B515" s="85" t="s">
        <v>972</v>
      </c>
      <c r="C515" s="94" t="s">
        <v>973</v>
      </c>
      <c r="D515" s="86"/>
      <c r="E515" s="86"/>
      <c r="F515" s="86"/>
      <c r="G515" s="86"/>
      <c r="H515" s="87"/>
      <c r="I515" s="86"/>
      <c r="J515" s="86">
        <v>0</v>
      </c>
      <c r="K515" s="86">
        <v>0</v>
      </c>
      <c r="L515" s="86">
        <v>0</v>
      </c>
      <c r="M515" s="86">
        <v>0</v>
      </c>
      <c r="N515" s="87">
        <f t="shared" si="84"/>
        <v>0</v>
      </c>
    </row>
    <row r="516" spans="2:14" ht="20.100000000000001" customHeight="1">
      <c r="B516" s="85" t="s">
        <v>974</v>
      </c>
      <c r="C516" s="94" t="s">
        <v>975</v>
      </c>
      <c r="D516" s="86"/>
      <c r="E516" s="86"/>
      <c r="F516" s="86"/>
      <c r="G516" s="86"/>
      <c r="H516" s="87"/>
      <c r="I516" s="86"/>
      <c r="J516" s="86">
        <v>0</v>
      </c>
      <c r="K516" s="86">
        <v>0</v>
      </c>
      <c r="L516" s="86">
        <v>0</v>
      </c>
      <c r="M516" s="86">
        <v>0</v>
      </c>
      <c r="N516" s="87">
        <f t="shared" si="84"/>
        <v>0</v>
      </c>
    </row>
    <row r="517" spans="2:14" ht="20.100000000000001" customHeight="1">
      <c r="B517" s="85" t="s">
        <v>1281</v>
      </c>
      <c r="C517" s="94" t="s">
        <v>1282</v>
      </c>
      <c r="D517" s="86"/>
      <c r="E517" s="86"/>
      <c r="F517" s="86"/>
      <c r="G517" s="86"/>
      <c r="H517" s="87"/>
      <c r="I517" s="86"/>
      <c r="J517" s="86">
        <v>0</v>
      </c>
      <c r="K517" s="86">
        <v>0</v>
      </c>
      <c r="L517" s="86">
        <v>0</v>
      </c>
      <c r="M517" s="86">
        <v>0</v>
      </c>
      <c r="N517" s="87">
        <f t="shared" si="84"/>
        <v>0</v>
      </c>
    </row>
    <row r="518" spans="2:14" ht="20.100000000000001" customHeight="1">
      <c r="B518" s="85" t="s">
        <v>1279</v>
      </c>
      <c r="C518" s="94" t="s">
        <v>1280</v>
      </c>
      <c r="D518" s="86"/>
      <c r="E518" s="86"/>
      <c r="F518" s="86"/>
      <c r="G518" s="86"/>
      <c r="H518" s="87"/>
      <c r="I518" s="86"/>
      <c r="J518" s="86">
        <v>0</v>
      </c>
      <c r="K518" s="86">
        <v>0</v>
      </c>
      <c r="L518" s="86">
        <v>0</v>
      </c>
      <c r="M518" s="86">
        <v>0</v>
      </c>
      <c r="N518" s="87">
        <f t="shared" ref="N518" si="85">M518+L518+K518+J518</f>
        <v>0</v>
      </c>
    </row>
    <row r="519" spans="2:14" ht="20.100000000000001" customHeight="1">
      <c r="B519" s="85" t="s">
        <v>1219</v>
      </c>
      <c r="C519" s="85" t="s">
        <v>1217</v>
      </c>
      <c r="D519" s="86"/>
      <c r="E519" s="86"/>
      <c r="F519" s="86"/>
      <c r="G519" s="86"/>
      <c r="H519" s="87"/>
      <c r="I519" s="86"/>
      <c r="J519" s="86">
        <v>0</v>
      </c>
      <c r="K519" s="86"/>
      <c r="L519" s="86">
        <v>0</v>
      </c>
      <c r="M519" s="86">
        <v>0</v>
      </c>
      <c r="N519" s="87">
        <f t="shared" si="84"/>
        <v>0</v>
      </c>
    </row>
    <row r="520" spans="2:14" ht="20.100000000000001" customHeight="1">
      <c r="B520" s="85" t="s">
        <v>1220</v>
      </c>
      <c r="C520" s="85" t="s">
        <v>1218</v>
      </c>
      <c r="D520" s="86"/>
      <c r="E520" s="86"/>
      <c r="F520" s="86"/>
      <c r="G520" s="86"/>
      <c r="H520" s="87"/>
      <c r="I520" s="86"/>
      <c r="J520" s="86">
        <v>0</v>
      </c>
      <c r="K520" s="86"/>
      <c r="L520" s="86">
        <v>0</v>
      </c>
      <c r="M520" s="86">
        <v>0</v>
      </c>
      <c r="N520" s="87">
        <f t="shared" si="84"/>
        <v>0</v>
      </c>
    </row>
    <row r="521" spans="2:14" ht="20.100000000000001" customHeight="1">
      <c r="B521" s="85" t="s">
        <v>1221</v>
      </c>
      <c r="C521" s="85" t="s">
        <v>1224</v>
      </c>
      <c r="D521" s="86"/>
      <c r="E521" s="86"/>
      <c r="F521" s="86"/>
      <c r="G521" s="86"/>
      <c r="H521" s="87"/>
      <c r="I521" s="86"/>
      <c r="J521" s="86">
        <v>0</v>
      </c>
      <c r="K521" s="86"/>
      <c r="L521" s="86">
        <v>0</v>
      </c>
      <c r="M521" s="86">
        <v>0</v>
      </c>
      <c r="N521" s="87">
        <f t="shared" si="84"/>
        <v>0</v>
      </c>
    </row>
    <row r="522" spans="2:14" ht="20.100000000000001" customHeight="1">
      <c r="B522" s="85" t="s">
        <v>1222</v>
      </c>
      <c r="C522" s="85" t="s">
        <v>1223</v>
      </c>
      <c r="D522" s="86"/>
      <c r="E522" s="86"/>
      <c r="F522" s="86"/>
      <c r="G522" s="86"/>
      <c r="H522" s="87"/>
      <c r="I522" s="86"/>
      <c r="J522" s="86">
        <v>0</v>
      </c>
      <c r="K522" s="86"/>
      <c r="L522" s="86">
        <v>0</v>
      </c>
      <c r="M522" s="86">
        <v>0</v>
      </c>
      <c r="N522" s="87">
        <f t="shared" ref="N522:N523" si="86">M522+L522+K522+J522</f>
        <v>0</v>
      </c>
    </row>
    <row r="523" spans="2:14" ht="20.100000000000001" customHeight="1">
      <c r="B523" s="85" t="s">
        <v>1225</v>
      </c>
      <c r="C523" s="85" t="s">
        <v>1226</v>
      </c>
      <c r="D523" s="86"/>
      <c r="E523" s="86"/>
      <c r="F523" s="86"/>
      <c r="G523" s="86"/>
      <c r="H523" s="87"/>
      <c r="I523" s="86"/>
      <c r="J523" s="86">
        <v>0</v>
      </c>
      <c r="K523" s="86"/>
      <c r="L523" s="86">
        <v>0</v>
      </c>
      <c r="M523" s="86">
        <v>0</v>
      </c>
      <c r="N523" s="87">
        <f t="shared" si="86"/>
        <v>0</v>
      </c>
    </row>
    <row r="524" spans="2:14" ht="20.100000000000001" customHeight="1">
      <c r="B524" s="85" t="s">
        <v>1227</v>
      </c>
      <c r="C524" s="85" t="s">
        <v>1228</v>
      </c>
      <c r="D524" s="86"/>
      <c r="E524" s="86"/>
      <c r="F524" s="86"/>
      <c r="G524" s="86"/>
      <c r="H524" s="87"/>
      <c r="I524" s="86"/>
      <c r="J524" s="86">
        <v>0</v>
      </c>
      <c r="K524" s="86"/>
      <c r="L524" s="86">
        <v>0</v>
      </c>
      <c r="M524" s="86">
        <v>0</v>
      </c>
      <c r="N524" s="87">
        <f t="shared" ref="N524" si="87">M524+L524+K524+J524</f>
        <v>0</v>
      </c>
    </row>
    <row r="525" spans="2:14" ht="20.100000000000001" customHeight="1">
      <c r="B525" s="85" t="s">
        <v>1229</v>
      </c>
      <c r="C525" s="85" t="s">
        <v>1230</v>
      </c>
      <c r="D525" s="86"/>
      <c r="E525" s="86"/>
      <c r="F525" s="86"/>
      <c r="G525" s="86"/>
      <c r="H525" s="87"/>
      <c r="I525" s="86"/>
      <c r="J525" s="86">
        <v>0</v>
      </c>
      <c r="K525" s="86"/>
      <c r="L525" s="86">
        <v>0</v>
      </c>
      <c r="M525" s="86">
        <v>0</v>
      </c>
      <c r="N525" s="87">
        <f t="shared" ref="N525:N526" si="88">M525+L525+K525+J525</f>
        <v>0</v>
      </c>
    </row>
    <row r="526" spans="2:14" ht="20.100000000000001" customHeight="1">
      <c r="B526" s="85" t="s">
        <v>1231</v>
      </c>
      <c r="C526" s="85" t="s">
        <v>1232</v>
      </c>
      <c r="D526" s="86"/>
      <c r="E526" s="86"/>
      <c r="F526" s="86"/>
      <c r="G526" s="86"/>
      <c r="H526" s="87"/>
      <c r="I526" s="86"/>
      <c r="J526" s="86">
        <v>0</v>
      </c>
      <c r="K526" s="86"/>
      <c r="L526" s="86">
        <v>0</v>
      </c>
      <c r="M526" s="86">
        <v>0</v>
      </c>
      <c r="N526" s="87">
        <f t="shared" si="88"/>
        <v>0</v>
      </c>
    </row>
    <row r="527" spans="2:14" ht="20.100000000000001" customHeight="1">
      <c r="B527" s="85" t="s">
        <v>1052</v>
      </c>
      <c r="C527" s="85" t="s">
        <v>1104</v>
      </c>
      <c r="D527" s="86"/>
      <c r="E527" s="86"/>
      <c r="F527" s="86"/>
      <c r="G527" s="86"/>
      <c r="H527" s="87"/>
      <c r="I527" s="86"/>
      <c r="J527" s="86">
        <v>0</v>
      </c>
      <c r="K527" s="86">
        <v>0</v>
      </c>
      <c r="L527" s="86">
        <v>0</v>
      </c>
      <c r="M527" s="86">
        <v>0</v>
      </c>
      <c r="N527" s="87">
        <f t="shared" si="84"/>
        <v>0</v>
      </c>
    </row>
    <row r="528" spans="2:14" ht="20.100000000000001" customHeight="1">
      <c r="B528" s="85" t="s">
        <v>1052</v>
      </c>
      <c r="C528" s="85" t="s">
        <v>1154</v>
      </c>
      <c r="D528" s="86"/>
      <c r="E528" s="86"/>
      <c r="F528" s="86"/>
      <c r="G528" s="86"/>
      <c r="H528" s="87"/>
      <c r="I528" s="86"/>
      <c r="J528" s="86">
        <v>0</v>
      </c>
      <c r="K528" s="86">
        <v>0</v>
      </c>
      <c r="L528" s="86">
        <v>0</v>
      </c>
      <c r="M528" s="86">
        <v>0</v>
      </c>
      <c r="N528" s="87">
        <f t="shared" ref="N528" si="89">M528+L528+K528+J528</f>
        <v>0</v>
      </c>
    </row>
    <row r="529" spans="2:14" ht="20.100000000000001" customHeight="1">
      <c r="B529" s="85" t="s">
        <v>1054</v>
      </c>
      <c r="C529" s="85" t="s">
        <v>1055</v>
      </c>
      <c r="D529" s="86"/>
      <c r="E529" s="86"/>
      <c r="F529" s="86"/>
      <c r="G529" s="86"/>
      <c r="H529" s="87"/>
      <c r="I529" s="86"/>
      <c r="J529" s="86">
        <v>0</v>
      </c>
      <c r="K529" s="86">
        <v>0</v>
      </c>
      <c r="L529" s="86">
        <v>0</v>
      </c>
      <c r="M529" s="86">
        <v>0</v>
      </c>
      <c r="N529" s="87">
        <f t="shared" si="84"/>
        <v>0</v>
      </c>
    </row>
    <row r="530" spans="2:14" ht="20.100000000000001" customHeight="1">
      <c r="B530" s="85" t="s">
        <v>1152</v>
      </c>
      <c r="C530" s="85" t="s">
        <v>1153</v>
      </c>
      <c r="D530" s="86"/>
      <c r="E530" s="86"/>
      <c r="F530" s="86"/>
      <c r="G530" s="86"/>
      <c r="H530" s="87"/>
      <c r="I530" s="86"/>
      <c r="J530" s="86">
        <v>0</v>
      </c>
      <c r="K530" s="86">
        <v>0</v>
      </c>
      <c r="L530" s="86">
        <v>0</v>
      </c>
      <c r="M530" s="86">
        <v>0</v>
      </c>
      <c r="N530" s="87">
        <f t="shared" ref="N530" si="90">M530+L530+K530+J530</f>
        <v>0</v>
      </c>
    </row>
    <row r="531" spans="2:14" ht="20.100000000000001" customHeight="1">
      <c r="B531" s="85" t="s">
        <v>1150</v>
      </c>
      <c r="C531" s="85" t="s">
        <v>1151</v>
      </c>
      <c r="D531" s="86"/>
      <c r="E531" s="86"/>
      <c r="F531" s="86"/>
      <c r="G531" s="86"/>
      <c r="H531" s="87"/>
      <c r="I531" s="86"/>
      <c r="J531" s="86">
        <v>0</v>
      </c>
      <c r="K531" s="86"/>
      <c r="L531" s="86">
        <v>0</v>
      </c>
      <c r="M531" s="86">
        <v>0</v>
      </c>
      <c r="N531" s="87">
        <f t="shared" si="84"/>
        <v>0</v>
      </c>
    </row>
    <row r="532" spans="2:14" ht="20.100000000000001" customHeight="1">
      <c r="B532" s="85" t="s">
        <v>1155</v>
      </c>
      <c r="C532" s="85" t="s">
        <v>1156</v>
      </c>
      <c r="D532" s="86"/>
      <c r="E532" s="86"/>
      <c r="F532" s="86"/>
      <c r="G532" s="86"/>
      <c r="H532" s="87"/>
      <c r="I532" s="86"/>
      <c r="J532" s="86">
        <v>0</v>
      </c>
      <c r="K532" s="86">
        <v>0</v>
      </c>
      <c r="L532" s="86">
        <v>0</v>
      </c>
      <c r="M532" s="86">
        <v>0</v>
      </c>
      <c r="N532" s="87">
        <f t="shared" si="84"/>
        <v>0</v>
      </c>
    </row>
    <row r="533" spans="2:14" ht="20.100000000000001" customHeight="1">
      <c r="B533" s="85" t="s">
        <v>1157</v>
      </c>
      <c r="C533" s="85" t="s">
        <v>1158</v>
      </c>
      <c r="D533" s="86"/>
      <c r="E533" s="86"/>
      <c r="F533" s="86"/>
      <c r="G533" s="86"/>
      <c r="H533" s="87"/>
      <c r="I533" s="86"/>
      <c r="J533" s="86">
        <v>0</v>
      </c>
      <c r="K533" s="86">
        <v>0</v>
      </c>
      <c r="L533" s="86">
        <v>0</v>
      </c>
      <c r="M533" s="86">
        <v>0</v>
      </c>
      <c r="N533" s="87">
        <f t="shared" ref="N533" si="91">M533+L533+K533+J533</f>
        <v>0</v>
      </c>
    </row>
    <row r="534" spans="2:14" ht="20.100000000000001" customHeight="1">
      <c r="B534" s="85" t="s">
        <v>1159</v>
      </c>
      <c r="C534" s="85" t="s">
        <v>1160</v>
      </c>
      <c r="D534" s="86"/>
      <c r="E534" s="86"/>
      <c r="F534" s="86"/>
      <c r="G534" s="86"/>
      <c r="H534" s="87"/>
      <c r="I534" s="86"/>
      <c r="J534" s="86">
        <v>0</v>
      </c>
      <c r="K534" s="86">
        <v>0</v>
      </c>
      <c r="L534" s="86">
        <v>0</v>
      </c>
      <c r="M534" s="86">
        <v>0</v>
      </c>
      <c r="N534" s="87">
        <f t="shared" ref="N534" si="92">M534+L534+K534+J534</f>
        <v>0</v>
      </c>
    </row>
    <row r="535" spans="2:14" ht="20.100000000000001" customHeight="1">
      <c r="B535" s="85" t="s">
        <v>838</v>
      </c>
      <c r="C535" s="85" t="s">
        <v>839</v>
      </c>
      <c r="D535" s="86"/>
      <c r="E535" s="86"/>
      <c r="F535" s="86"/>
      <c r="G535" s="86"/>
      <c r="H535" s="87"/>
      <c r="I535" s="86"/>
      <c r="J535" s="86">
        <v>0</v>
      </c>
      <c r="K535" s="86">
        <v>0</v>
      </c>
      <c r="L535" s="86">
        <v>0</v>
      </c>
      <c r="M535" s="86">
        <v>0</v>
      </c>
      <c r="N535" s="87">
        <f t="shared" si="84"/>
        <v>0</v>
      </c>
    </row>
    <row r="536" spans="2:14" ht="20.100000000000001" customHeight="1">
      <c r="B536" s="301" t="s">
        <v>73</v>
      </c>
      <c r="C536" s="302"/>
      <c r="D536" s="47">
        <f>SUM(D430:D535)</f>
        <v>0</v>
      </c>
      <c r="E536" s="47">
        <f>SUM(E430:E535)</f>
        <v>0</v>
      </c>
      <c r="F536" s="47">
        <f>SUM(F430:F535)</f>
        <v>0</v>
      </c>
      <c r="G536" s="47"/>
      <c r="H536" s="47">
        <f t="shared" ref="H536:N536" si="93">SUM(H430:H535)</f>
        <v>0</v>
      </c>
      <c r="I536" s="47">
        <f t="shared" si="93"/>
        <v>0</v>
      </c>
      <c r="J536" s="47">
        <f t="shared" si="93"/>
        <v>0</v>
      </c>
      <c r="K536" s="47">
        <f t="shared" si="93"/>
        <v>0</v>
      </c>
      <c r="L536" s="47">
        <f t="shared" si="93"/>
        <v>0</v>
      </c>
      <c r="M536" s="47">
        <f t="shared" si="93"/>
        <v>0</v>
      </c>
      <c r="N536" s="47">
        <f t="shared" si="93"/>
        <v>0</v>
      </c>
    </row>
    <row r="537" spans="2:14" ht="23.25" customHeight="1">
      <c r="B537" s="15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2:14" ht="20.25" customHeight="1">
      <c r="B538" s="15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2:14" ht="25.5" customHeight="1">
      <c r="B539" s="15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2:14" ht="20.25" customHeight="1">
      <c r="B540" s="300" t="s">
        <v>0</v>
      </c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</row>
    <row r="541" spans="2:14" ht="24" customHeight="1" thickBot="1">
      <c r="B541" s="287" t="s">
        <v>1310</v>
      </c>
      <c r="C541" s="288"/>
      <c r="D541" s="288"/>
      <c r="E541" s="288"/>
      <c r="F541" s="288"/>
      <c r="G541" s="288"/>
      <c r="H541" s="288"/>
      <c r="I541" s="288"/>
      <c r="J541" s="288"/>
      <c r="K541" s="288"/>
      <c r="L541" s="288"/>
      <c r="M541" s="288"/>
      <c r="N541" s="288"/>
    </row>
    <row r="542" spans="2:14" ht="33" customHeight="1" thickBot="1">
      <c r="B542" s="289" t="s">
        <v>1</v>
      </c>
      <c r="C542" s="25" t="s">
        <v>192</v>
      </c>
      <c r="D542" s="4" t="s">
        <v>40</v>
      </c>
      <c r="E542" s="3" t="s">
        <v>3</v>
      </c>
      <c r="F542" s="3" t="s">
        <v>4</v>
      </c>
      <c r="G542" s="3"/>
      <c r="H542" s="3" t="s">
        <v>5</v>
      </c>
      <c r="I542" s="5" t="s">
        <v>6</v>
      </c>
      <c r="J542" s="278" t="s">
        <v>5</v>
      </c>
      <c r="K542" s="279"/>
      <c r="L542" s="279"/>
      <c r="M542" s="279"/>
      <c r="N542" s="280"/>
    </row>
    <row r="543" spans="2:14" ht="18.75" customHeight="1">
      <c r="B543" s="290"/>
      <c r="C543" s="24" t="s">
        <v>193</v>
      </c>
      <c r="D543" s="6" t="s">
        <v>7</v>
      </c>
      <c r="E543" s="6" t="s">
        <v>7</v>
      </c>
      <c r="F543" s="6" t="s">
        <v>7</v>
      </c>
      <c r="G543" s="7"/>
      <c r="H543" s="7" t="s">
        <v>7</v>
      </c>
      <c r="I543" s="8" t="s">
        <v>7</v>
      </c>
      <c r="J543" s="44" t="s">
        <v>8</v>
      </c>
      <c r="K543" s="45" t="s">
        <v>9</v>
      </c>
      <c r="L543" s="45" t="s">
        <v>10</v>
      </c>
      <c r="M543" s="46" t="s">
        <v>11</v>
      </c>
      <c r="N543" s="297" t="s">
        <v>12</v>
      </c>
    </row>
    <row r="544" spans="2:14" ht="19.5" customHeight="1" thickBot="1">
      <c r="B544" s="291"/>
      <c r="C544" s="17"/>
      <c r="D544" s="10" t="s">
        <v>13</v>
      </c>
      <c r="E544" s="10" t="s">
        <v>13</v>
      </c>
      <c r="F544" s="10" t="s">
        <v>13</v>
      </c>
      <c r="G544" s="11"/>
      <c r="H544" s="11" t="s">
        <v>13</v>
      </c>
      <c r="I544" s="11" t="s">
        <v>13</v>
      </c>
      <c r="J544" s="77" t="s">
        <v>13</v>
      </c>
      <c r="K544" s="78" t="s">
        <v>13</v>
      </c>
      <c r="L544" s="78" t="s">
        <v>13</v>
      </c>
      <c r="M544" s="79" t="s">
        <v>13</v>
      </c>
      <c r="N544" s="298"/>
    </row>
    <row r="545" spans="2:14" ht="20.100000000000001" customHeight="1">
      <c r="B545" s="33" t="s">
        <v>74</v>
      </c>
      <c r="C545" s="34"/>
      <c r="D545" s="34"/>
      <c r="E545" s="34"/>
      <c r="F545" s="34"/>
      <c r="G545" s="34"/>
      <c r="H545" s="34"/>
      <c r="I545" s="38"/>
      <c r="J545" s="34"/>
      <c r="K545" s="34"/>
      <c r="L545" s="34"/>
      <c r="M545" s="34"/>
      <c r="N545" s="39"/>
    </row>
    <row r="546" spans="2:14" ht="20.100000000000001" customHeight="1">
      <c r="B546" s="91" t="s">
        <v>722</v>
      </c>
      <c r="C546" s="95" t="s">
        <v>723</v>
      </c>
      <c r="D546" s="92"/>
      <c r="E546" s="92"/>
      <c r="F546" s="92"/>
      <c r="G546" s="92"/>
      <c r="H546" s="93"/>
      <c r="I546" s="92"/>
      <c r="J546" s="92">
        <v>0</v>
      </c>
      <c r="K546" s="92">
        <v>0</v>
      </c>
      <c r="L546" s="92">
        <v>0</v>
      </c>
      <c r="M546" s="92">
        <v>0</v>
      </c>
      <c r="N546" s="93">
        <f t="shared" ref="N546:N591" si="94">M546+L546+K546+J546</f>
        <v>0</v>
      </c>
    </row>
    <row r="547" spans="2:14" ht="20.100000000000001" customHeight="1">
      <c r="B547" s="85" t="s">
        <v>719</v>
      </c>
      <c r="C547" s="94" t="s">
        <v>720</v>
      </c>
      <c r="D547" s="86"/>
      <c r="E547" s="86"/>
      <c r="F547" s="86"/>
      <c r="G547" s="86"/>
      <c r="H547" s="87"/>
      <c r="I547" s="86"/>
      <c r="J547" s="86">
        <v>0</v>
      </c>
      <c r="K547" s="86">
        <v>0</v>
      </c>
      <c r="L547" s="86">
        <v>0</v>
      </c>
      <c r="M547" s="86">
        <v>0</v>
      </c>
      <c r="N547" s="87">
        <f t="shared" si="94"/>
        <v>0</v>
      </c>
    </row>
    <row r="548" spans="2:14" ht="20.100000000000001" customHeight="1">
      <c r="B548" s="85" t="s">
        <v>721</v>
      </c>
      <c r="C548" s="94" t="s">
        <v>724</v>
      </c>
      <c r="D548" s="86"/>
      <c r="E548" s="86"/>
      <c r="F548" s="86"/>
      <c r="G548" s="86"/>
      <c r="H548" s="87"/>
      <c r="I548" s="86"/>
      <c r="J548" s="86">
        <v>0</v>
      </c>
      <c r="K548" s="86">
        <v>0</v>
      </c>
      <c r="L548" s="86">
        <v>0</v>
      </c>
      <c r="M548" s="86">
        <v>0</v>
      </c>
      <c r="N548" s="87">
        <f t="shared" si="94"/>
        <v>0</v>
      </c>
    </row>
    <row r="549" spans="2:14" ht="20.100000000000001" customHeight="1">
      <c r="B549" s="85" t="s">
        <v>717</v>
      </c>
      <c r="C549" s="94" t="s">
        <v>718</v>
      </c>
      <c r="D549" s="86"/>
      <c r="E549" s="86"/>
      <c r="F549" s="86"/>
      <c r="G549" s="86"/>
      <c r="H549" s="87"/>
      <c r="I549" s="86"/>
      <c r="J549" s="86">
        <v>0</v>
      </c>
      <c r="K549" s="86">
        <v>0</v>
      </c>
      <c r="L549" s="86">
        <v>0</v>
      </c>
      <c r="M549" s="86">
        <v>0</v>
      </c>
      <c r="N549" s="87">
        <f t="shared" si="94"/>
        <v>0</v>
      </c>
    </row>
    <row r="550" spans="2:14" ht="20.100000000000001" customHeight="1">
      <c r="B550" s="85" t="s">
        <v>315</v>
      </c>
      <c r="C550" s="94" t="s">
        <v>510</v>
      </c>
      <c r="D550" s="86"/>
      <c r="E550" s="86"/>
      <c r="F550" s="86"/>
      <c r="G550" s="86"/>
      <c r="H550" s="87"/>
      <c r="I550" s="86"/>
      <c r="J550" s="86">
        <v>0</v>
      </c>
      <c r="K550" s="86">
        <v>0</v>
      </c>
      <c r="L550" s="86">
        <v>0</v>
      </c>
      <c r="M550" s="86"/>
      <c r="N550" s="87">
        <f t="shared" si="94"/>
        <v>0</v>
      </c>
    </row>
    <row r="551" spans="2:14" ht="20.100000000000001" customHeight="1">
      <c r="B551" s="96" t="s">
        <v>315</v>
      </c>
      <c r="C551" s="97" t="s">
        <v>714</v>
      </c>
      <c r="D551" s="98"/>
      <c r="E551" s="98"/>
      <c r="F551" s="98"/>
      <c r="G551" s="98"/>
      <c r="H551" s="99"/>
      <c r="I551" s="98"/>
      <c r="J551" s="98">
        <v>0</v>
      </c>
      <c r="K551" s="98">
        <v>0</v>
      </c>
      <c r="L551" s="98">
        <v>0</v>
      </c>
      <c r="M551" s="98">
        <v>0</v>
      </c>
      <c r="N551" s="99">
        <f t="shared" si="94"/>
        <v>0</v>
      </c>
    </row>
    <row r="552" spans="2:14" ht="20.100000000000001" customHeight="1">
      <c r="B552" s="85" t="s">
        <v>495</v>
      </c>
      <c r="C552" s="94" t="s">
        <v>496</v>
      </c>
      <c r="D552" s="86"/>
      <c r="E552" s="86"/>
      <c r="F552" s="86"/>
      <c r="G552" s="86"/>
      <c r="H552" s="87"/>
      <c r="I552" s="86"/>
      <c r="J552" s="86">
        <v>0</v>
      </c>
      <c r="K552" s="86">
        <v>0</v>
      </c>
      <c r="L552" s="86">
        <v>0</v>
      </c>
      <c r="M552" s="86">
        <v>0</v>
      </c>
      <c r="N552" s="87">
        <f t="shared" si="94"/>
        <v>0</v>
      </c>
    </row>
    <row r="553" spans="2:14" ht="20.100000000000001" customHeight="1">
      <c r="B553" s="85" t="s">
        <v>715</v>
      </c>
      <c r="C553" s="94" t="s">
        <v>716</v>
      </c>
      <c r="D553" s="86"/>
      <c r="E553" s="86"/>
      <c r="F553" s="86"/>
      <c r="G553" s="86"/>
      <c r="H553" s="87"/>
      <c r="I553" s="86"/>
      <c r="J553" s="86">
        <v>0</v>
      </c>
      <c r="K553" s="86">
        <v>0</v>
      </c>
      <c r="L553" s="86">
        <v>0</v>
      </c>
      <c r="M553" s="86">
        <v>0</v>
      </c>
      <c r="N553" s="87">
        <f t="shared" si="94"/>
        <v>0</v>
      </c>
    </row>
    <row r="554" spans="2:14" ht="20.100000000000001" customHeight="1">
      <c r="B554" s="85" t="s">
        <v>497</v>
      </c>
      <c r="C554" s="94" t="s">
        <v>498</v>
      </c>
      <c r="D554" s="86"/>
      <c r="E554" s="86"/>
      <c r="F554" s="86"/>
      <c r="G554" s="86"/>
      <c r="H554" s="87"/>
      <c r="I554" s="86"/>
      <c r="J554" s="86">
        <v>0</v>
      </c>
      <c r="K554" s="86">
        <v>0</v>
      </c>
      <c r="L554" s="86">
        <v>0</v>
      </c>
      <c r="M554" s="86"/>
      <c r="N554" s="87">
        <f t="shared" si="94"/>
        <v>0</v>
      </c>
    </row>
    <row r="555" spans="2:14" ht="20.100000000000001" customHeight="1">
      <c r="B555" s="85" t="s">
        <v>497</v>
      </c>
      <c r="C555" s="94" t="s">
        <v>971</v>
      </c>
      <c r="D555" s="86"/>
      <c r="E555" s="86"/>
      <c r="F555" s="86"/>
      <c r="G555" s="86"/>
      <c r="H555" s="87"/>
      <c r="I555" s="86"/>
      <c r="J555" s="86">
        <v>0</v>
      </c>
      <c r="K555" s="86">
        <v>0</v>
      </c>
      <c r="L555" s="86">
        <v>0</v>
      </c>
      <c r="M555" s="86">
        <v>0</v>
      </c>
      <c r="N555" s="87">
        <f t="shared" si="94"/>
        <v>0</v>
      </c>
    </row>
    <row r="556" spans="2:14" ht="20.100000000000001" customHeight="1">
      <c r="B556" s="85" t="s">
        <v>499</v>
      </c>
      <c r="C556" s="94" t="s">
        <v>934</v>
      </c>
      <c r="D556" s="86"/>
      <c r="E556" s="86"/>
      <c r="F556" s="86"/>
      <c r="G556" s="86"/>
      <c r="H556" s="87"/>
      <c r="I556" s="86"/>
      <c r="J556" s="86">
        <v>0</v>
      </c>
      <c r="K556" s="86">
        <v>0</v>
      </c>
      <c r="L556" s="86">
        <v>0</v>
      </c>
      <c r="M556" s="86">
        <v>0</v>
      </c>
      <c r="N556" s="87">
        <f t="shared" si="94"/>
        <v>0</v>
      </c>
    </row>
    <row r="557" spans="2:14" ht="20.100000000000001" customHeight="1">
      <c r="B557" s="85" t="s">
        <v>1215</v>
      </c>
      <c r="C557" s="94" t="s">
        <v>1216</v>
      </c>
      <c r="D557" s="86"/>
      <c r="E557" s="86"/>
      <c r="F557" s="86"/>
      <c r="G557" s="86"/>
      <c r="H557" s="87"/>
      <c r="I557" s="86"/>
      <c r="J557" s="86">
        <v>0</v>
      </c>
      <c r="K557" s="86">
        <v>0</v>
      </c>
      <c r="L557" s="86">
        <v>0</v>
      </c>
      <c r="M557" s="86">
        <v>0</v>
      </c>
      <c r="N557" s="87">
        <f t="shared" ref="N557" si="95">M557+L557+K557+J557</f>
        <v>0</v>
      </c>
    </row>
    <row r="558" spans="2:14" ht="20.100000000000001" customHeight="1">
      <c r="B558" s="85" t="s">
        <v>1269</v>
      </c>
      <c r="C558" s="94" t="s">
        <v>1270</v>
      </c>
      <c r="D558" s="86"/>
      <c r="E558" s="86"/>
      <c r="F558" s="86"/>
      <c r="G558" s="86"/>
      <c r="H558" s="87"/>
      <c r="I558" s="86"/>
      <c r="J558" s="86">
        <v>0</v>
      </c>
      <c r="K558" s="86">
        <v>0</v>
      </c>
      <c r="L558" s="86">
        <v>0</v>
      </c>
      <c r="M558" s="86">
        <v>0</v>
      </c>
      <c r="N558" s="87">
        <f t="shared" ref="N558" si="96">M558+L558+K558+J558</f>
        <v>0</v>
      </c>
    </row>
    <row r="559" spans="2:14" ht="20.100000000000001" customHeight="1">
      <c r="B559" s="85" t="s">
        <v>1086</v>
      </c>
      <c r="C559" s="85" t="s">
        <v>677</v>
      </c>
      <c r="D559" s="86"/>
      <c r="E559" s="86"/>
      <c r="F559" s="86"/>
      <c r="G559" s="86"/>
      <c r="H559" s="87"/>
      <c r="I559" s="86"/>
      <c r="J559" s="86">
        <v>0</v>
      </c>
      <c r="K559" s="86">
        <v>0</v>
      </c>
      <c r="L559" s="86">
        <v>0</v>
      </c>
      <c r="M559" s="86">
        <v>0</v>
      </c>
      <c r="N559" s="87">
        <f t="shared" si="94"/>
        <v>0</v>
      </c>
    </row>
    <row r="560" spans="2:14" ht="20.100000000000001" customHeight="1">
      <c r="B560" s="85" t="s">
        <v>1089</v>
      </c>
      <c r="C560" s="85" t="s">
        <v>1090</v>
      </c>
      <c r="D560" s="86"/>
      <c r="E560" s="86"/>
      <c r="F560" s="86"/>
      <c r="G560" s="86"/>
      <c r="H560" s="87"/>
      <c r="I560" s="86"/>
      <c r="J560" s="86">
        <v>0</v>
      </c>
      <c r="K560" s="86">
        <v>0</v>
      </c>
      <c r="L560" s="86">
        <v>0</v>
      </c>
      <c r="M560" s="86">
        <v>0</v>
      </c>
      <c r="N560" s="87">
        <f t="shared" si="94"/>
        <v>0</v>
      </c>
    </row>
    <row r="561" spans="2:14" ht="20.100000000000001" customHeight="1">
      <c r="B561" s="85" t="s">
        <v>758</v>
      </c>
      <c r="C561" s="85" t="s">
        <v>677</v>
      </c>
      <c r="D561" s="86"/>
      <c r="E561" s="86"/>
      <c r="F561" s="86"/>
      <c r="G561" s="86"/>
      <c r="H561" s="87"/>
      <c r="I561" s="86"/>
      <c r="J561" s="86">
        <v>0</v>
      </c>
      <c r="K561" s="86">
        <v>0</v>
      </c>
      <c r="L561" s="86">
        <v>0</v>
      </c>
      <c r="M561" s="86">
        <v>0</v>
      </c>
      <c r="N561" s="87">
        <f t="shared" si="94"/>
        <v>0</v>
      </c>
    </row>
    <row r="562" spans="2:14" ht="20.100000000000001" customHeight="1">
      <c r="B562" s="85" t="s">
        <v>1028</v>
      </c>
      <c r="C562" s="85" t="s">
        <v>1029</v>
      </c>
      <c r="D562" s="86"/>
      <c r="E562" s="86"/>
      <c r="F562" s="86"/>
      <c r="G562" s="86"/>
      <c r="H562" s="87"/>
      <c r="I562" s="86"/>
      <c r="J562" s="86"/>
      <c r="K562" s="86">
        <v>0</v>
      </c>
      <c r="L562" s="86">
        <v>0</v>
      </c>
      <c r="M562" s="86"/>
      <c r="N562" s="87">
        <f t="shared" si="94"/>
        <v>0</v>
      </c>
    </row>
    <row r="563" spans="2:14" ht="20.100000000000001" customHeight="1">
      <c r="B563" s="85" t="s">
        <v>757</v>
      </c>
      <c r="C563" s="85" t="s">
        <v>1139</v>
      </c>
      <c r="D563" s="86"/>
      <c r="E563" s="86"/>
      <c r="F563" s="86"/>
      <c r="G563" s="86"/>
      <c r="H563" s="87"/>
      <c r="I563" s="86"/>
      <c r="J563" s="86">
        <v>0</v>
      </c>
      <c r="K563" s="86">
        <v>0</v>
      </c>
      <c r="L563" s="86">
        <v>0</v>
      </c>
      <c r="M563" s="86">
        <v>0</v>
      </c>
      <c r="N563" s="87">
        <f t="shared" si="94"/>
        <v>0</v>
      </c>
    </row>
    <row r="564" spans="2:14" ht="20.100000000000001" customHeight="1">
      <c r="B564" s="85" t="s">
        <v>712</v>
      </c>
      <c r="C564" s="85" t="s">
        <v>713</v>
      </c>
      <c r="D564" s="86"/>
      <c r="E564" s="86"/>
      <c r="F564" s="86"/>
      <c r="G564" s="86"/>
      <c r="H564" s="87"/>
      <c r="I564" s="86"/>
      <c r="J564" s="86">
        <v>0</v>
      </c>
      <c r="K564" s="86">
        <v>0</v>
      </c>
      <c r="L564" s="86">
        <v>0</v>
      </c>
      <c r="M564" s="86">
        <v>0</v>
      </c>
      <c r="N564" s="87">
        <f t="shared" si="94"/>
        <v>0</v>
      </c>
    </row>
    <row r="565" spans="2:14" ht="20.100000000000001" customHeight="1">
      <c r="B565" s="85" t="s">
        <v>791</v>
      </c>
      <c r="C565" s="85" t="s">
        <v>792</v>
      </c>
      <c r="D565" s="86"/>
      <c r="E565" s="86"/>
      <c r="F565" s="86"/>
      <c r="G565" s="86"/>
      <c r="H565" s="87"/>
      <c r="I565" s="86"/>
      <c r="J565" s="86">
        <v>0</v>
      </c>
      <c r="K565" s="86">
        <v>0</v>
      </c>
      <c r="L565" s="86">
        <v>0</v>
      </c>
      <c r="M565" s="86">
        <v>0</v>
      </c>
      <c r="N565" s="87">
        <f t="shared" si="94"/>
        <v>0</v>
      </c>
    </row>
    <row r="566" spans="2:14" ht="20.100000000000001" customHeight="1">
      <c r="B566" s="85" t="s">
        <v>1271</v>
      </c>
      <c r="C566" s="85" t="s">
        <v>1272</v>
      </c>
      <c r="D566" s="86"/>
      <c r="E566" s="86"/>
      <c r="F566" s="86"/>
      <c r="G566" s="86"/>
      <c r="H566" s="87"/>
      <c r="I566" s="86"/>
      <c r="J566" s="86">
        <v>0</v>
      </c>
      <c r="K566" s="86">
        <v>0</v>
      </c>
      <c r="L566" s="86">
        <v>0</v>
      </c>
      <c r="M566" s="86">
        <v>0</v>
      </c>
      <c r="N566" s="87">
        <f t="shared" ref="N566" si="97">M566+L566+K566+J566</f>
        <v>0</v>
      </c>
    </row>
    <row r="567" spans="2:14" ht="20.100000000000001" customHeight="1">
      <c r="B567" s="85" t="s">
        <v>932</v>
      </c>
      <c r="C567" s="85" t="s">
        <v>933</v>
      </c>
      <c r="D567" s="86"/>
      <c r="E567" s="86"/>
      <c r="F567" s="86"/>
      <c r="G567" s="86"/>
      <c r="H567" s="87"/>
      <c r="I567" s="86"/>
      <c r="J567" s="86">
        <v>0</v>
      </c>
      <c r="K567" s="86">
        <v>0</v>
      </c>
      <c r="L567" s="86">
        <v>0</v>
      </c>
      <c r="M567" s="86">
        <v>0</v>
      </c>
      <c r="N567" s="87">
        <f t="shared" si="94"/>
        <v>0</v>
      </c>
    </row>
    <row r="568" spans="2:14" ht="20.100000000000001" customHeight="1">
      <c r="B568" s="85" t="s">
        <v>1206</v>
      </c>
      <c r="C568" s="85" t="s">
        <v>1207</v>
      </c>
      <c r="D568" s="86"/>
      <c r="E568" s="86"/>
      <c r="F568" s="86"/>
      <c r="G568" s="86"/>
      <c r="H568" s="87"/>
      <c r="I568" s="86"/>
      <c r="J568" s="86">
        <v>0</v>
      </c>
      <c r="K568" s="86">
        <v>0</v>
      </c>
      <c r="L568" s="86">
        <v>0</v>
      </c>
      <c r="M568" s="86">
        <v>0</v>
      </c>
      <c r="N568" s="87">
        <f t="shared" ref="N568" si="98">M568+L568+K568+J568</f>
        <v>0</v>
      </c>
    </row>
    <row r="569" spans="2:14" ht="20.100000000000001" customHeight="1">
      <c r="B569" s="85" t="s">
        <v>1206</v>
      </c>
      <c r="C569" s="85" t="s">
        <v>1273</v>
      </c>
      <c r="D569" s="86"/>
      <c r="E569" s="86"/>
      <c r="F569" s="86"/>
      <c r="G569" s="86"/>
      <c r="H569" s="87"/>
      <c r="I569" s="86"/>
      <c r="J569" s="86">
        <v>0</v>
      </c>
      <c r="K569" s="86">
        <v>0</v>
      </c>
      <c r="L569" s="86">
        <v>0</v>
      </c>
      <c r="M569" s="86">
        <v>0</v>
      </c>
      <c r="N569" s="87">
        <f t="shared" ref="N569" si="99">M569+L569+K569+J569</f>
        <v>0</v>
      </c>
    </row>
    <row r="570" spans="2:14" ht="21" customHeight="1">
      <c r="B570" s="85" t="s">
        <v>1141</v>
      </c>
      <c r="C570" s="85" t="s">
        <v>678</v>
      </c>
      <c r="D570" s="86"/>
      <c r="E570" s="86"/>
      <c r="F570" s="86"/>
      <c r="G570" s="86"/>
      <c r="H570" s="87"/>
      <c r="I570" s="86"/>
      <c r="J570" s="86">
        <v>0</v>
      </c>
      <c r="K570" s="86"/>
      <c r="L570" s="86">
        <v>0</v>
      </c>
      <c r="M570" s="86">
        <v>0</v>
      </c>
      <c r="N570" s="87">
        <f t="shared" si="94"/>
        <v>0</v>
      </c>
    </row>
    <row r="571" spans="2:14" ht="19.5" hidden="1" customHeight="1">
      <c r="B571" s="85" t="s">
        <v>794</v>
      </c>
      <c r="C571" s="85" t="s">
        <v>795</v>
      </c>
      <c r="D571" s="86"/>
      <c r="E571" s="86"/>
      <c r="F571" s="86"/>
      <c r="G571" s="86"/>
      <c r="H571" s="87"/>
      <c r="I571" s="86"/>
      <c r="J571" s="86">
        <v>0</v>
      </c>
      <c r="K571" s="86">
        <v>0</v>
      </c>
      <c r="L571" s="86">
        <v>0</v>
      </c>
      <c r="M571" s="86">
        <v>0</v>
      </c>
      <c r="N571" s="87">
        <f t="shared" si="94"/>
        <v>0</v>
      </c>
    </row>
    <row r="572" spans="2:14" ht="19.5" hidden="1" customHeight="1">
      <c r="B572" s="85" t="s">
        <v>316</v>
      </c>
      <c r="C572" s="85" t="s">
        <v>317</v>
      </c>
      <c r="D572" s="86"/>
      <c r="E572" s="86"/>
      <c r="F572" s="86"/>
      <c r="G572" s="86"/>
      <c r="H572" s="87"/>
      <c r="I572" s="86"/>
      <c r="J572" s="86">
        <v>0</v>
      </c>
      <c r="K572" s="86">
        <v>0</v>
      </c>
      <c r="L572" s="86">
        <v>0</v>
      </c>
      <c r="M572" s="86">
        <v>0</v>
      </c>
      <c r="N572" s="87">
        <f t="shared" si="94"/>
        <v>0</v>
      </c>
    </row>
    <row r="573" spans="2:14" ht="19.5" hidden="1" customHeight="1">
      <c r="B573" s="85" t="s">
        <v>681</v>
      </c>
      <c r="C573" s="85" t="s">
        <v>682</v>
      </c>
      <c r="D573" s="86"/>
      <c r="E573" s="86"/>
      <c r="F573" s="86"/>
      <c r="G573" s="86"/>
      <c r="H573" s="87"/>
      <c r="I573" s="86"/>
      <c r="J573" s="86">
        <v>0</v>
      </c>
      <c r="K573" s="86">
        <v>0</v>
      </c>
      <c r="L573" s="86">
        <v>0</v>
      </c>
      <c r="M573" s="86">
        <v>0</v>
      </c>
      <c r="N573" s="87">
        <f t="shared" si="94"/>
        <v>0</v>
      </c>
    </row>
    <row r="574" spans="2:14" ht="19.5" hidden="1" customHeight="1">
      <c r="B574" s="85" t="s">
        <v>796</v>
      </c>
      <c r="C574" s="85" t="s">
        <v>793</v>
      </c>
      <c r="D574" s="86"/>
      <c r="E574" s="86"/>
      <c r="F574" s="86"/>
      <c r="G574" s="86"/>
      <c r="H574" s="87"/>
      <c r="I574" s="86"/>
      <c r="J574" s="86">
        <v>0</v>
      </c>
      <c r="K574" s="86">
        <v>0</v>
      </c>
      <c r="L574" s="86">
        <v>0</v>
      </c>
      <c r="M574" s="86">
        <v>0</v>
      </c>
      <c r="N574" s="87">
        <f t="shared" si="94"/>
        <v>0</v>
      </c>
    </row>
    <row r="575" spans="2:14" ht="19.5" hidden="1" customHeight="1">
      <c r="B575" s="85" t="s">
        <v>500</v>
      </c>
      <c r="C575" s="85" t="s">
        <v>679</v>
      </c>
      <c r="D575" s="86"/>
      <c r="E575" s="86"/>
      <c r="F575" s="86"/>
      <c r="G575" s="86"/>
      <c r="H575" s="87"/>
      <c r="I575" s="86"/>
      <c r="J575" s="86">
        <v>0</v>
      </c>
      <c r="K575" s="86">
        <v>0</v>
      </c>
      <c r="L575" s="86">
        <v>0</v>
      </c>
      <c r="M575" s="86">
        <v>0</v>
      </c>
      <c r="N575" s="87">
        <f t="shared" si="94"/>
        <v>0</v>
      </c>
    </row>
    <row r="576" spans="2:14" ht="19.5" hidden="1" customHeight="1">
      <c r="B576" s="85" t="s">
        <v>910</v>
      </c>
      <c r="C576" s="85" t="s">
        <v>911</v>
      </c>
      <c r="D576" s="86"/>
      <c r="E576" s="86"/>
      <c r="F576" s="86"/>
      <c r="G576" s="86"/>
      <c r="H576" s="87"/>
      <c r="I576" s="86"/>
      <c r="J576" s="86">
        <v>0</v>
      </c>
      <c r="K576" s="86">
        <v>0</v>
      </c>
      <c r="L576" s="86">
        <v>0</v>
      </c>
      <c r="M576" s="86">
        <v>0</v>
      </c>
      <c r="N576" s="87">
        <f t="shared" si="94"/>
        <v>0</v>
      </c>
    </row>
    <row r="577" spans="2:14" ht="19.5" hidden="1" customHeight="1">
      <c r="B577" s="85" t="s">
        <v>494</v>
      </c>
      <c r="C577" s="85" t="s">
        <v>680</v>
      </c>
      <c r="D577" s="86"/>
      <c r="E577" s="86"/>
      <c r="F577" s="86"/>
      <c r="G577" s="86"/>
      <c r="H577" s="87"/>
      <c r="I577" s="86"/>
      <c r="J577" s="86">
        <v>0</v>
      </c>
      <c r="K577" s="86">
        <v>0</v>
      </c>
      <c r="L577" s="86">
        <v>0</v>
      </c>
      <c r="M577" s="86">
        <v>0</v>
      </c>
      <c r="N577" s="87">
        <f t="shared" si="94"/>
        <v>0</v>
      </c>
    </row>
    <row r="578" spans="2:14" ht="19.5" customHeight="1">
      <c r="B578" s="85" t="s">
        <v>1211</v>
      </c>
      <c r="C578" s="85" t="s">
        <v>1212</v>
      </c>
      <c r="D578" s="86"/>
      <c r="E578" s="86"/>
      <c r="F578" s="86"/>
      <c r="G578" s="86"/>
      <c r="H578" s="87"/>
      <c r="I578" s="86"/>
      <c r="J578" s="86">
        <v>0</v>
      </c>
      <c r="K578" s="86">
        <v>0</v>
      </c>
      <c r="L578" s="86">
        <v>0</v>
      </c>
      <c r="M578" s="86">
        <v>0</v>
      </c>
      <c r="N578" s="87">
        <f>M578+L578+K578+J578</f>
        <v>0</v>
      </c>
    </row>
    <row r="579" spans="2:14" ht="19.5" customHeight="1">
      <c r="B579" s="85" t="s">
        <v>1213</v>
      </c>
      <c r="C579" s="85" t="s">
        <v>795</v>
      </c>
      <c r="D579" s="86"/>
      <c r="E579" s="86"/>
      <c r="F579" s="86"/>
      <c r="G579" s="86"/>
      <c r="H579" s="87"/>
      <c r="I579" s="86"/>
      <c r="J579" s="86">
        <v>0</v>
      </c>
      <c r="K579" s="86">
        <v>0</v>
      </c>
      <c r="L579" s="86">
        <v>0</v>
      </c>
      <c r="M579" s="86">
        <v>0</v>
      </c>
      <c r="N579" s="87">
        <f>M579+L579+K579+J579</f>
        <v>0</v>
      </c>
    </row>
    <row r="580" spans="2:14" ht="24" customHeight="1">
      <c r="B580" s="85" t="s">
        <v>1208</v>
      </c>
      <c r="C580" s="85" t="s">
        <v>793</v>
      </c>
      <c r="D580" s="86"/>
      <c r="E580" s="86"/>
      <c r="F580" s="86"/>
      <c r="G580" s="86"/>
      <c r="H580" s="87"/>
      <c r="I580" s="86"/>
      <c r="J580" s="86">
        <v>0</v>
      </c>
      <c r="K580" s="86">
        <v>0</v>
      </c>
      <c r="L580" s="86">
        <v>0</v>
      </c>
      <c r="M580" s="86">
        <v>0</v>
      </c>
      <c r="N580" s="87">
        <f>M580+L580+K580+J580</f>
        <v>0</v>
      </c>
    </row>
    <row r="581" spans="2:14" ht="23.25" customHeight="1">
      <c r="B581" s="85" t="s">
        <v>1209</v>
      </c>
      <c r="C581" s="85" t="s">
        <v>1210</v>
      </c>
      <c r="D581" s="86"/>
      <c r="E581" s="86"/>
      <c r="F581" s="86"/>
      <c r="G581" s="86"/>
      <c r="H581" s="87"/>
      <c r="I581" s="86"/>
      <c r="J581" s="86">
        <v>0</v>
      </c>
      <c r="K581" s="86">
        <v>0</v>
      </c>
      <c r="L581" s="86">
        <v>0</v>
      </c>
      <c r="M581" s="86">
        <v>0</v>
      </c>
      <c r="N581" s="87">
        <f>M581+L581+K581+J581</f>
        <v>0</v>
      </c>
    </row>
    <row r="582" spans="2:14" ht="23.25" customHeight="1">
      <c r="B582" s="85" t="s">
        <v>1140</v>
      </c>
      <c r="C582" s="85" t="s">
        <v>724</v>
      </c>
      <c r="D582" s="86"/>
      <c r="E582" s="86"/>
      <c r="F582" s="86"/>
      <c r="G582" s="86"/>
      <c r="H582" s="87"/>
      <c r="I582" s="86"/>
      <c r="J582" s="86">
        <v>0</v>
      </c>
      <c r="K582" s="86">
        <v>0</v>
      </c>
      <c r="L582" s="86">
        <v>0</v>
      </c>
      <c r="M582" s="86">
        <v>0</v>
      </c>
      <c r="N582" s="87">
        <f t="shared" si="94"/>
        <v>0</v>
      </c>
    </row>
    <row r="583" spans="2:14" ht="24" customHeight="1">
      <c r="B583" s="85" t="s">
        <v>1084</v>
      </c>
      <c r="C583" s="85" t="s">
        <v>1085</v>
      </c>
      <c r="D583" s="86"/>
      <c r="E583" s="86"/>
      <c r="F583" s="86"/>
      <c r="G583" s="86"/>
      <c r="H583" s="87"/>
      <c r="I583" s="86"/>
      <c r="J583" s="86">
        <v>0</v>
      </c>
      <c r="K583" s="86"/>
      <c r="L583" s="86">
        <v>0</v>
      </c>
      <c r="M583" s="86">
        <v>0</v>
      </c>
      <c r="N583" s="87">
        <f t="shared" si="94"/>
        <v>0</v>
      </c>
    </row>
    <row r="584" spans="2:14" ht="23.25" customHeight="1">
      <c r="B584" s="85" t="s">
        <v>491</v>
      </c>
      <c r="C584" s="85" t="s">
        <v>739</v>
      </c>
      <c r="D584" s="86"/>
      <c r="E584" s="86"/>
      <c r="F584" s="86"/>
      <c r="G584" s="86"/>
      <c r="H584" s="87"/>
      <c r="I584" s="86"/>
      <c r="J584" s="86">
        <v>0</v>
      </c>
      <c r="K584" s="86">
        <v>0</v>
      </c>
      <c r="L584" s="86">
        <v>0</v>
      </c>
      <c r="M584" s="86">
        <v>0</v>
      </c>
      <c r="N584" s="87">
        <f t="shared" si="94"/>
        <v>0</v>
      </c>
    </row>
    <row r="585" spans="2:14" ht="24" customHeight="1">
      <c r="B585" s="85" t="s">
        <v>1137</v>
      </c>
      <c r="C585" s="85" t="s">
        <v>1138</v>
      </c>
      <c r="D585" s="86"/>
      <c r="E585" s="86"/>
      <c r="F585" s="86"/>
      <c r="G585" s="86"/>
      <c r="H585" s="87"/>
      <c r="I585" s="86"/>
      <c r="J585" s="86">
        <v>0</v>
      </c>
      <c r="K585" s="86">
        <v>0</v>
      </c>
      <c r="L585" s="86">
        <v>0</v>
      </c>
      <c r="M585" s="86">
        <v>0</v>
      </c>
      <c r="N585" s="87">
        <f t="shared" si="94"/>
        <v>0</v>
      </c>
    </row>
    <row r="586" spans="2:14" ht="24.75" customHeight="1">
      <c r="B586" s="85" t="s">
        <v>80</v>
      </c>
      <c r="C586" s="85" t="s">
        <v>84</v>
      </c>
      <c r="D586" s="86"/>
      <c r="E586" s="86"/>
      <c r="F586" s="86"/>
      <c r="G586" s="86"/>
      <c r="H586" s="87"/>
      <c r="I586" s="86"/>
      <c r="J586" s="86">
        <v>0</v>
      </c>
      <c r="K586" s="86"/>
      <c r="L586" s="86">
        <v>0</v>
      </c>
      <c r="M586" s="86">
        <v>0</v>
      </c>
      <c r="N586" s="87">
        <f t="shared" si="94"/>
        <v>0</v>
      </c>
    </row>
    <row r="587" spans="2:14" ht="24.75" customHeight="1">
      <c r="B587" s="85" t="s">
        <v>1305</v>
      </c>
      <c r="C587" s="85" t="s">
        <v>1306</v>
      </c>
      <c r="D587" s="86"/>
      <c r="E587" s="86"/>
      <c r="F587" s="86"/>
      <c r="G587" s="86"/>
      <c r="H587" s="87"/>
      <c r="I587" s="86"/>
      <c r="J587" s="86">
        <v>0</v>
      </c>
      <c r="K587" s="86">
        <v>0</v>
      </c>
      <c r="L587" s="86">
        <v>0</v>
      </c>
      <c r="M587" s="86">
        <v>0</v>
      </c>
      <c r="N587" s="87">
        <f t="shared" si="94"/>
        <v>0</v>
      </c>
    </row>
    <row r="588" spans="2:14" ht="21.75" customHeight="1">
      <c r="B588" s="85" t="s">
        <v>314</v>
      </c>
      <c r="C588" s="85" t="s">
        <v>502</v>
      </c>
      <c r="D588" s="86"/>
      <c r="E588" s="86"/>
      <c r="F588" s="86"/>
      <c r="G588" s="86"/>
      <c r="H588" s="87"/>
      <c r="I588" s="86"/>
      <c r="J588" s="86">
        <v>0</v>
      </c>
      <c r="K588" s="86">
        <v>0</v>
      </c>
      <c r="L588" s="86">
        <v>0</v>
      </c>
      <c r="M588" s="86">
        <v>0</v>
      </c>
      <c r="N588" s="87">
        <f t="shared" si="94"/>
        <v>0</v>
      </c>
    </row>
    <row r="589" spans="2:14" ht="21" customHeight="1">
      <c r="B589" s="85" t="s">
        <v>314</v>
      </c>
      <c r="C589" s="85" t="s">
        <v>501</v>
      </c>
      <c r="D589" s="86"/>
      <c r="E589" s="86"/>
      <c r="F589" s="86"/>
      <c r="G589" s="86"/>
      <c r="H589" s="87"/>
      <c r="I589" s="86"/>
      <c r="J589" s="86">
        <v>0</v>
      </c>
      <c r="K589" s="86">
        <v>0</v>
      </c>
      <c r="L589" s="86">
        <v>0</v>
      </c>
      <c r="M589" s="86">
        <v>0</v>
      </c>
      <c r="N589" s="87">
        <f t="shared" si="94"/>
        <v>0</v>
      </c>
    </row>
    <row r="590" spans="2:14" ht="21" customHeight="1">
      <c r="B590" s="85" t="s">
        <v>503</v>
      </c>
      <c r="C590" s="85" t="s">
        <v>1274</v>
      </c>
      <c r="D590" s="86"/>
      <c r="E590" s="86"/>
      <c r="F590" s="86"/>
      <c r="G590" s="86"/>
      <c r="H590" s="87"/>
      <c r="I590" s="86"/>
      <c r="J590" s="86">
        <v>0</v>
      </c>
      <c r="K590" s="86">
        <v>0</v>
      </c>
      <c r="L590" s="86">
        <v>0</v>
      </c>
      <c r="M590" s="86">
        <v>0</v>
      </c>
      <c r="N590" s="87">
        <f t="shared" si="94"/>
        <v>0</v>
      </c>
    </row>
    <row r="591" spans="2:14" ht="20.100000000000001" customHeight="1">
      <c r="B591" s="88" t="s">
        <v>503</v>
      </c>
      <c r="C591" s="88" t="s">
        <v>1214</v>
      </c>
      <c r="D591" s="89"/>
      <c r="E591" s="89"/>
      <c r="F591" s="89"/>
      <c r="G591" s="89"/>
      <c r="H591" s="90"/>
      <c r="I591" s="89"/>
      <c r="J591" s="89">
        <v>0</v>
      </c>
      <c r="K591" s="89">
        <v>0</v>
      </c>
      <c r="L591" s="89">
        <v>0</v>
      </c>
      <c r="M591" s="89">
        <v>0</v>
      </c>
      <c r="N591" s="90">
        <f t="shared" si="94"/>
        <v>0</v>
      </c>
    </row>
    <row r="592" spans="2:14" ht="20.100000000000001" customHeight="1">
      <c r="B592" s="294" t="s">
        <v>87</v>
      </c>
      <c r="C592" s="295"/>
      <c r="D592" s="36">
        <f>SUM(D546:D591)</f>
        <v>0</v>
      </c>
      <c r="E592" s="36">
        <f>SUM(E546:E591)</f>
        <v>0</v>
      </c>
      <c r="F592" s="36">
        <f>SUM(F546:F591)</f>
        <v>0</v>
      </c>
      <c r="G592" s="36"/>
      <c r="H592" s="36">
        <f t="shared" ref="H592:N592" si="100">SUM(H546:H591)</f>
        <v>0</v>
      </c>
      <c r="I592" s="36">
        <f t="shared" si="100"/>
        <v>0</v>
      </c>
      <c r="J592" s="36">
        <f t="shared" si="100"/>
        <v>0</v>
      </c>
      <c r="K592" s="36">
        <f t="shared" si="100"/>
        <v>0</v>
      </c>
      <c r="L592" s="36">
        <f t="shared" si="100"/>
        <v>0</v>
      </c>
      <c r="M592" s="36">
        <f t="shared" si="100"/>
        <v>0</v>
      </c>
      <c r="N592" s="36">
        <f t="shared" si="100"/>
        <v>0</v>
      </c>
    </row>
    <row r="593" spans="2:14" ht="20.100000000000001" customHeight="1">
      <c r="B593" s="100" t="s">
        <v>88</v>
      </c>
      <c r="C593" s="100"/>
      <c r="D593" s="102"/>
      <c r="E593" s="100"/>
      <c r="F593" s="100"/>
      <c r="G593" s="100"/>
      <c r="H593" s="100"/>
      <c r="I593" s="193"/>
      <c r="J593" s="100"/>
      <c r="K593" s="110"/>
      <c r="L593" s="100"/>
      <c r="M593" s="100"/>
      <c r="N593" s="100"/>
    </row>
    <row r="594" spans="2:14" ht="20.100000000000001" customHeight="1">
      <c r="B594" s="85" t="s">
        <v>505</v>
      </c>
      <c r="C594" s="85" t="s">
        <v>1307</v>
      </c>
      <c r="D594" s="86"/>
      <c r="E594" s="86"/>
      <c r="F594" s="86"/>
      <c r="G594" s="86"/>
      <c r="H594" s="87"/>
      <c r="I594" s="86"/>
      <c r="J594" s="86">
        <v>0</v>
      </c>
      <c r="K594" s="86">
        <v>0</v>
      </c>
      <c r="L594" s="86">
        <v>0</v>
      </c>
      <c r="M594" s="86">
        <v>0</v>
      </c>
      <c r="N594" s="87">
        <f t="shared" ref="N594:N602" si="101">M594+L594+K594+J594</f>
        <v>0</v>
      </c>
    </row>
    <row r="595" spans="2:14" ht="20.100000000000001" customHeight="1">
      <c r="B595" s="85" t="s">
        <v>322</v>
      </c>
      <c r="C595" s="85" t="s">
        <v>323</v>
      </c>
      <c r="D595" s="86"/>
      <c r="E595" s="86"/>
      <c r="F595" s="86"/>
      <c r="G595" s="86"/>
      <c r="H595" s="87"/>
      <c r="I595" s="86"/>
      <c r="J595" s="86">
        <v>0</v>
      </c>
      <c r="K595" s="86">
        <v>0</v>
      </c>
      <c r="L595" s="86">
        <v>0</v>
      </c>
      <c r="M595" s="86">
        <v>0</v>
      </c>
      <c r="N595" s="87">
        <f t="shared" si="101"/>
        <v>0</v>
      </c>
    </row>
    <row r="596" spans="2:14" ht="20.100000000000001" customHeight="1">
      <c r="B596" s="85" t="s">
        <v>1308</v>
      </c>
      <c r="C596" s="85" t="s">
        <v>1309</v>
      </c>
      <c r="D596" s="86"/>
      <c r="E596" s="86"/>
      <c r="F596" s="86"/>
      <c r="G596" s="86"/>
      <c r="H596" s="87"/>
      <c r="I596" s="86"/>
      <c r="J596" s="86">
        <v>0</v>
      </c>
      <c r="K596" s="86">
        <v>0</v>
      </c>
      <c r="L596" s="86">
        <v>0</v>
      </c>
      <c r="M596" s="86">
        <v>0</v>
      </c>
      <c r="N596" s="87">
        <f t="shared" ref="N596" si="102">M596+L596+K596+J596</f>
        <v>0</v>
      </c>
    </row>
    <row r="597" spans="2:14" ht="20.100000000000001" customHeight="1">
      <c r="B597" s="85" t="s">
        <v>1031</v>
      </c>
      <c r="C597" s="85" t="s">
        <v>1032</v>
      </c>
      <c r="D597" s="86"/>
      <c r="E597" s="86"/>
      <c r="F597" s="86"/>
      <c r="G597" s="86"/>
      <c r="H597" s="87"/>
      <c r="I597" s="86"/>
      <c r="J597" s="86">
        <v>0</v>
      </c>
      <c r="K597" s="86">
        <v>0</v>
      </c>
      <c r="L597" s="86">
        <v>0</v>
      </c>
      <c r="M597" s="86">
        <v>0</v>
      </c>
      <c r="N597" s="87">
        <f t="shared" si="101"/>
        <v>0</v>
      </c>
    </row>
    <row r="598" spans="2:14" ht="20.100000000000001" customHeight="1">
      <c r="B598" s="85" t="s">
        <v>506</v>
      </c>
      <c r="C598" s="85" t="s">
        <v>508</v>
      </c>
      <c r="D598" s="86"/>
      <c r="E598" s="86"/>
      <c r="F598" s="86"/>
      <c r="G598" s="86"/>
      <c r="H598" s="87"/>
      <c r="I598" s="86"/>
      <c r="J598" s="86">
        <v>0</v>
      </c>
      <c r="K598" s="86">
        <v>0</v>
      </c>
      <c r="L598" s="86">
        <v>0</v>
      </c>
      <c r="M598" s="86">
        <v>0</v>
      </c>
      <c r="N598" s="87">
        <f t="shared" si="101"/>
        <v>0</v>
      </c>
    </row>
    <row r="599" spans="2:14" ht="20.100000000000001" customHeight="1">
      <c r="B599" s="85" t="s">
        <v>507</v>
      </c>
      <c r="C599" s="85" t="s">
        <v>936</v>
      </c>
      <c r="D599" s="86"/>
      <c r="E599" s="86"/>
      <c r="F599" s="86"/>
      <c r="G599" s="86"/>
      <c r="H599" s="87"/>
      <c r="I599" s="86"/>
      <c r="J599" s="86">
        <v>0</v>
      </c>
      <c r="K599" s="86">
        <v>0</v>
      </c>
      <c r="L599" s="86">
        <v>0</v>
      </c>
      <c r="M599" s="86">
        <v>0</v>
      </c>
      <c r="N599" s="87">
        <f t="shared" si="101"/>
        <v>0</v>
      </c>
    </row>
    <row r="600" spans="2:14" ht="20.100000000000001" customHeight="1">
      <c r="B600" s="85" t="s">
        <v>978</v>
      </c>
      <c r="C600" s="85" t="s">
        <v>979</v>
      </c>
      <c r="D600" s="86"/>
      <c r="E600" s="86"/>
      <c r="F600" s="86"/>
      <c r="G600" s="86"/>
      <c r="H600" s="87"/>
      <c r="I600" s="86"/>
      <c r="J600" s="86">
        <v>0</v>
      </c>
      <c r="K600" s="86">
        <v>0</v>
      </c>
      <c r="L600" s="86">
        <v>0</v>
      </c>
      <c r="M600" s="86">
        <v>0</v>
      </c>
      <c r="N600" s="87">
        <f t="shared" si="101"/>
        <v>0</v>
      </c>
    </row>
    <row r="601" spans="2:14" ht="20.100000000000001" customHeight="1">
      <c r="B601" s="85" t="s">
        <v>1120</v>
      </c>
      <c r="C601" s="85" t="s">
        <v>1121</v>
      </c>
      <c r="D601" s="86"/>
      <c r="E601" s="86"/>
      <c r="F601" s="86"/>
      <c r="G601" s="86"/>
      <c r="H601" s="87"/>
      <c r="I601" s="86"/>
      <c r="J601" s="86">
        <v>0</v>
      </c>
      <c r="K601" s="86">
        <v>0</v>
      </c>
      <c r="L601" s="86">
        <v>0</v>
      </c>
      <c r="M601" s="86">
        <v>0</v>
      </c>
      <c r="N601" s="87">
        <f t="shared" si="101"/>
        <v>0</v>
      </c>
    </row>
    <row r="602" spans="2:14" ht="20.100000000000001" customHeight="1">
      <c r="B602" s="88" t="s">
        <v>1071</v>
      </c>
      <c r="C602" s="88" t="s">
        <v>1072</v>
      </c>
      <c r="D602" s="89"/>
      <c r="E602" s="89"/>
      <c r="F602" s="89"/>
      <c r="G602" s="89"/>
      <c r="H602" s="90"/>
      <c r="I602" s="89"/>
      <c r="J602" s="89">
        <v>0</v>
      </c>
      <c r="K602" s="89">
        <v>0</v>
      </c>
      <c r="L602" s="89">
        <v>0</v>
      </c>
      <c r="M602" s="89">
        <v>0</v>
      </c>
      <c r="N602" s="90">
        <f t="shared" si="101"/>
        <v>0</v>
      </c>
    </row>
    <row r="603" spans="2:14" ht="30.75" customHeight="1">
      <c r="B603" s="320" t="s">
        <v>89</v>
      </c>
      <c r="C603" s="321"/>
      <c r="D603" s="48">
        <f>SUM(D594:D602)</f>
        <v>0</v>
      </c>
      <c r="E603" s="48">
        <f>SUM(E594:E602)</f>
        <v>0</v>
      </c>
      <c r="F603" s="48">
        <f>SUM(F594:F602)</f>
        <v>0</v>
      </c>
      <c r="G603" s="48"/>
      <c r="H603" s="48">
        <f t="shared" ref="H603:N603" si="103">SUM(H594:H602)</f>
        <v>0</v>
      </c>
      <c r="I603" s="48">
        <f t="shared" si="103"/>
        <v>0</v>
      </c>
      <c r="J603" s="48">
        <f t="shared" si="103"/>
        <v>0</v>
      </c>
      <c r="K603" s="48">
        <f t="shared" si="103"/>
        <v>0</v>
      </c>
      <c r="L603" s="48">
        <f t="shared" si="103"/>
        <v>0</v>
      </c>
      <c r="M603" s="48">
        <f t="shared" si="103"/>
        <v>0</v>
      </c>
      <c r="N603" s="48">
        <f t="shared" si="103"/>
        <v>0</v>
      </c>
    </row>
    <row r="604" spans="2:14" ht="33" customHeight="1">
      <c r="B604" s="18"/>
      <c r="C604" s="18"/>
      <c r="D604" s="18"/>
      <c r="E604" s="18"/>
      <c r="F604" s="18"/>
      <c r="G604" s="18"/>
      <c r="H604" s="18"/>
      <c r="I604" s="18"/>
      <c r="J604" s="2"/>
      <c r="K604" s="2"/>
      <c r="L604" s="2"/>
      <c r="M604" s="2"/>
      <c r="N604" s="2"/>
    </row>
    <row r="605" spans="2:14" ht="21" customHeight="1">
      <c r="B605" s="18"/>
      <c r="C605" s="18"/>
      <c r="D605" s="18"/>
      <c r="E605" s="18"/>
      <c r="F605" s="18"/>
      <c r="G605" s="18"/>
      <c r="H605" s="18"/>
      <c r="I605" s="18"/>
      <c r="J605" s="2"/>
      <c r="K605" s="2"/>
      <c r="L605" s="2"/>
      <c r="M605" s="2"/>
      <c r="N605" s="2"/>
    </row>
    <row r="606" spans="2:14" ht="24" customHeight="1">
      <c r="B606" s="286" t="s">
        <v>0</v>
      </c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</row>
    <row r="607" spans="2:14" ht="23.25" customHeight="1" thickBot="1">
      <c r="B607" s="287" t="s">
        <v>1310</v>
      </c>
      <c r="C607" s="288"/>
      <c r="D607" s="288"/>
      <c r="E607" s="288"/>
      <c r="F607" s="288"/>
      <c r="G607" s="288"/>
      <c r="H607" s="288"/>
      <c r="I607" s="288"/>
      <c r="J607" s="288"/>
      <c r="K607" s="288"/>
      <c r="L607" s="288"/>
      <c r="M607" s="288"/>
      <c r="N607" s="288"/>
    </row>
    <row r="608" spans="2:14" ht="30" customHeight="1" thickBot="1">
      <c r="B608" s="289" t="s">
        <v>1</v>
      </c>
      <c r="C608" s="25" t="s">
        <v>192</v>
      </c>
      <c r="D608" s="4" t="s">
        <v>40</v>
      </c>
      <c r="E608" s="3" t="s">
        <v>3</v>
      </c>
      <c r="F608" s="3" t="s">
        <v>4</v>
      </c>
      <c r="G608" s="3"/>
      <c r="H608" s="3" t="s">
        <v>5</v>
      </c>
      <c r="I608" s="5" t="s">
        <v>6</v>
      </c>
      <c r="J608" s="278" t="s">
        <v>5</v>
      </c>
      <c r="K608" s="279"/>
      <c r="L608" s="279"/>
      <c r="M608" s="279"/>
      <c r="N608" s="280"/>
    </row>
    <row r="609" spans="2:14" ht="18.75" customHeight="1">
      <c r="B609" s="290"/>
      <c r="C609" s="24" t="s">
        <v>193</v>
      </c>
      <c r="D609" s="6" t="s">
        <v>7</v>
      </c>
      <c r="E609" s="6" t="s">
        <v>7</v>
      </c>
      <c r="F609" s="6" t="s">
        <v>7</v>
      </c>
      <c r="G609" s="7"/>
      <c r="H609" s="7" t="s">
        <v>7</v>
      </c>
      <c r="I609" s="8" t="s">
        <v>7</v>
      </c>
      <c r="J609" s="44" t="s">
        <v>8</v>
      </c>
      <c r="K609" s="45" t="s">
        <v>9</v>
      </c>
      <c r="L609" s="45" t="s">
        <v>10</v>
      </c>
      <c r="M609" s="46" t="s">
        <v>11</v>
      </c>
      <c r="N609" s="297" t="s">
        <v>12</v>
      </c>
    </row>
    <row r="610" spans="2:14" ht="19.5" customHeight="1" thickBot="1">
      <c r="B610" s="291"/>
      <c r="C610" s="17"/>
      <c r="D610" s="10" t="s">
        <v>13</v>
      </c>
      <c r="E610" s="10" t="s">
        <v>13</v>
      </c>
      <c r="F610" s="10" t="s">
        <v>13</v>
      </c>
      <c r="G610" s="11"/>
      <c r="H610" s="11" t="s">
        <v>13</v>
      </c>
      <c r="I610" s="11" t="s">
        <v>13</v>
      </c>
      <c r="J610" s="77" t="s">
        <v>13</v>
      </c>
      <c r="K610" s="78" t="s">
        <v>13</v>
      </c>
      <c r="L610" s="78" t="s">
        <v>13</v>
      </c>
      <c r="M610" s="79" t="s">
        <v>13</v>
      </c>
      <c r="N610" s="298"/>
    </row>
    <row r="611" spans="2:14" ht="20.100000000000001" customHeight="1">
      <c r="B611" s="33" t="s">
        <v>90</v>
      </c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9"/>
    </row>
    <row r="612" spans="2:14" ht="20.100000000000001" customHeight="1">
      <c r="B612" s="91" t="s">
        <v>767</v>
      </c>
      <c r="C612" s="104" t="s">
        <v>826</v>
      </c>
      <c r="D612" s="92"/>
      <c r="E612" s="92"/>
      <c r="F612" s="92"/>
      <c r="G612" s="92"/>
      <c r="H612" s="93"/>
      <c r="I612" s="92"/>
      <c r="J612" s="92">
        <v>0</v>
      </c>
      <c r="K612" s="92">
        <v>0</v>
      </c>
      <c r="L612" s="92">
        <v>0</v>
      </c>
      <c r="M612" s="92">
        <v>0</v>
      </c>
      <c r="N612" s="93">
        <f t="shared" ref="N612:N626" si="104">M612+L612+K612+J612</f>
        <v>0</v>
      </c>
    </row>
    <row r="613" spans="2:14" ht="20.100000000000001" customHeight="1">
      <c r="B613" s="85" t="s">
        <v>521</v>
      </c>
      <c r="C613" s="105" t="s">
        <v>522</v>
      </c>
      <c r="D613" s="86"/>
      <c r="E613" s="86"/>
      <c r="F613" s="86"/>
      <c r="G613" s="86"/>
      <c r="H613" s="87"/>
      <c r="I613" s="86"/>
      <c r="J613" s="86">
        <v>0</v>
      </c>
      <c r="K613" s="86">
        <v>0</v>
      </c>
      <c r="L613" s="86">
        <v>0</v>
      </c>
      <c r="M613" s="86">
        <v>0</v>
      </c>
      <c r="N613" s="87">
        <f t="shared" si="104"/>
        <v>0</v>
      </c>
    </row>
    <row r="614" spans="2:14" ht="20.100000000000001" customHeight="1">
      <c r="B614" s="96" t="s">
        <v>523</v>
      </c>
      <c r="C614" s="105" t="s">
        <v>524</v>
      </c>
      <c r="D614" s="169"/>
      <c r="E614" s="169"/>
      <c r="F614" s="169"/>
      <c r="G614" s="169"/>
      <c r="H614" s="170"/>
      <c r="I614" s="169"/>
      <c r="J614" s="169">
        <v>0</v>
      </c>
      <c r="K614" s="169">
        <v>0</v>
      </c>
      <c r="L614" s="169">
        <v>0</v>
      </c>
      <c r="M614" s="169">
        <v>0</v>
      </c>
      <c r="N614" s="170">
        <f t="shared" si="104"/>
        <v>0</v>
      </c>
    </row>
    <row r="615" spans="2:14" ht="20.100000000000001" customHeight="1">
      <c r="B615" s="85" t="s">
        <v>525</v>
      </c>
      <c r="C615" s="168" t="s">
        <v>522</v>
      </c>
      <c r="D615" s="86"/>
      <c r="E615" s="86"/>
      <c r="F615" s="86"/>
      <c r="G615" s="86"/>
      <c r="H615" s="87"/>
      <c r="I615" s="86"/>
      <c r="J615" s="86">
        <v>0</v>
      </c>
      <c r="K615" s="86">
        <v>0</v>
      </c>
      <c r="L615" s="86">
        <v>0</v>
      </c>
      <c r="M615" s="86">
        <v>0</v>
      </c>
      <c r="N615" s="87">
        <f t="shared" si="104"/>
        <v>0</v>
      </c>
    </row>
    <row r="616" spans="2:14" ht="20.100000000000001" customHeight="1">
      <c r="B616" s="85" t="s">
        <v>526</v>
      </c>
      <c r="C616" s="105" t="s">
        <v>527</v>
      </c>
      <c r="D616" s="86"/>
      <c r="E616" s="86"/>
      <c r="F616" s="86"/>
      <c r="G616" s="86"/>
      <c r="H616" s="87"/>
      <c r="I616" s="86"/>
      <c r="J616" s="86">
        <v>0</v>
      </c>
      <c r="K616" s="86">
        <v>0</v>
      </c>
      <c r="L616" s="86">
        <v>0</v>
      </c>
      <c r="M616" s="86">
        <v>0</v>
      </c>
      <c r="N616" s="87">
        <f t="shared" si="104"/>
        <v>0</v>
      </c>
    </row>
    <row r="617" spans="2:14" ht="20.100000000000001" customHeight="1">
      <c r="B617" s="85" t="s">
        <v>1163</v>
      </c>
      <c r="C617" s="105" t="s">
        <v>1164</v>
      </c>
      <c r="D617" s="86"/>
      <c r="E617" s="86"/>
      <c r="F617" s="86"/>
      <c r="G617" s="86"/>
      <c r="H617" s="87"/>
      <c r="I617" s="86"/>
      <c r="J617" s="86">
        <v>0</v>
      </c>
      <c r="K617" s="86">
        <v>0</v>
      </c>
      <c r="L617" s="86">
        <v>0</v>
      </c>
      <c r="M617" s="86">
        <v>0</v>
      </c>
      <c r="N617" s="87">
        <f t="shared" ref="N617" si="105">M617+L617+K617+J617</f>
        <v>0</v>
      </c>
    </row>
    <row r="618" spans="2:14" ht="20.100000000000001" customHeight="1">
      <c r="B618" s="85" t="s">
        <v>528</v>
      </c>
      <c r="C618" s="105" t="s">
        <v>529</v>
      </c>
      <c r="D618" s="86"/>
      <c r="E618" s="86"/>
      <c r="F618" s="86"/>
      <c r="G618" s="86"/>
      <c r="H618" s="87"/>
      <c r="I618" s="86"/>
      <c r="J618" s="86">
        <v>0</v>
      </c>
      <c r="K618" s="86">
        <v>0</v>
      </c>
      <c r="L618" s="86">
        <v>0</v>
      </c>
      <c r="M618" s="86">
        <v>0</v>
      </c>
      <c r="N618" s="87">
        <f t="shared" si="104"/>
        <v>0</v>
      </c>
    </row>
    <row r="619" spans="2:14" ht="20.100000000000001" customHeight="1">
      <c r="B619" s="85" t="s">
        <v>915</v>
      </c>
      <c r="C619" s="105" t="s">
        <v>916</v>
      </c>
      <c r="D619" s="86"/>
      <c r="E619" s="86"/>
      <c r="F619" s="86"/>
      <c r="G619" s="86"/>
      <c r="H619" s="87"/>
      <c r="I619" s="86"/>
      <c r="J619" s="86">
        <v>0</v>
      </c>
      <c r="K619" s="86">
        <v>0</v>
      </c>
      <c r="L619" s="86">
        <v>0</v>
      </c>
      <c r="M619" s="86">
        <v>0</v>
      </c>
      <c r="N619" s="87">
        <f t="shared" si="104"/>
        <v>0</v>
      </c>
    </row>
    <row r="620" spans="2:14" ht="20.100000000000001" customHeight="1">
      <c r="B620" s="85" t="s">
        <v>530</v>
      </c>
      <c r="C620" s="105" t="s">
        <v>1043</v>
      </c>
      <c r="D620" s="86"/>
      <c r="E620" s="86"/>
      <c r="F620" s="86"/>
      <c r="G620" s="86"/>
      <c r="H620" s="87"/>
      <c r="I620" s="86"/>
      <c r="J620" s="86">
        <v>0</v>
      </c>
      <c r="K620" s="86">
        <v>0</v>
      </c>
      <c r="L620" s="86">
        <v>0</v>
      </c>
      <c r="M620" s="86">
        <v>0</v>
      </c>
      <c r="N620" s="87">
        <f t="shared" si="104"/>
        <v>0</v>
      </c>
    </row>
    <row r="621" spans="2:14" ht="20.100000000000001" customHeight="1">
      <c r="B621" s="109" t="s">
        <v>92</v>
      </c>
      <c r="C621" s="105" t="s">
        <v>93</v>
      </c>
      <c r="D621" s="86"/>
      <c r="E621" s="86"/>
      <c r="F621" s="86"/>
      <c r="G621" s="86"/>
      <c r="H621" s="87"/>
      <c r="I621" s="86"/>
      <c r="J621" s="86">
        <v>0</v>
      </c>
      <c r="K621" s="86">
        <v>0</v>
      </c>
      <c r="L621" s="86">
        <v>0</v>
      </c>
      <c r="M621" s="86">
        <v>0</v>
      </c>
      <c r="N621" s="87">
        <f t="shared" si="104"/>
        <v>0</v>
      </c>
    </row>
    <row r="622" spans="2:14" ht="20.100000000000001" customHeight="1">
      <c r="B622" s="85" t="s">
        <v>565</v>
      </c>
      <c r="C622" s="105" t="s">
        <v>566</v>
      </c>
      <c r="D622" s="86"/>
      <c r="E622" s="86"/>
      <c r="F622" s="86"/>
      <c r="G622" s="86"/>
      <c r="H622" s="87"/>
      <c r="I622" s="86"/>
      <c r="J622" s="86">
        <v>0</v>
      </c>
      <c r="K622" s="86">
        <v>0</v>
      </c>
      <c r="L622" s="86">
        <v>0</v>
      </c>
      <c r="M622" s="86">
        <v>0</v>
      </c>
      <c r="N622" s="87">
        <f t="shared" si="104"/>
        <v>0</v>
      </c>
    </row>
    <row r="623" spans="2:14" ht="20.100000000000001" customHeight="1">
      <c r="B623" s="85" t="s">
        <v>531</v>
      </c>
      <c r="C623" s="105" t="s">
        <v>532</v>
      </c>
      <c r="D623" s="86"/>
      <c r="E623" s="86"/>
      <c r="F623" s="86"/>
      <c r="G623" s="86"/>
      <c r="H623" s="87"/>
      <c r="I623" s="86"/>
      <c r="J623" s="86">
        <v>0</v>
      </c>
      <c r="K623" s="86"/>
      <c r="L623" s="86">
        <v>0</v>
      </c>
      <c r="M623" s="86">
        <v>0</v>
      </c>
      <c r="N623" s="87">
        <f t="shared" si="104"/>
        <v>0</v>
      </c>
    </row>
    <row r="624" spans="2:14" ht="20.100000000000001" customHeight="1">
      <c r="B624" s="85" t="s">
        <v>533</v>
      </c>
      <c r="C624" s="105" t="s">
        <v>534</v>
      </c>
      <c r="D624" s="86"/>
      <c r="E624" s="86"/>
      <c r="F624" s="86"/>
      <c r="G624" s="86"/>
      <c r="H624" s="87"/>
      <c r="I624" s="86"/>
      <c r="J624" s="86">
        <v>0</v>
      </c>
      <c r="K624" s="86">
        <v>0</v>
      </c>
      <c r="L624" s="86">
        <v>0</v>
      </c>
      <c r="M624" s="86">
        <v>0</v>
      </c>
      <c r="N624" s="87">
        <f t="shared" si="104"/>
        <v>0</v>
      </c>
    </row>
    <row r="625" spans="2:14" ht="20.100000000000001" customHeight="1">
      <c r="B625" s="85" t="s">
        <v>537</v>
      </c>
      <c r="C625" s="105" t="s">
        <v>538</v>
      </c>
      <c r="D625" s="86"/>
      <c r="E625" s="86"/>
      <c r="F625" s="86"/>
      <c r="G625" s="86"/>
      <c r="H625" s="87"/>
      <c r="I625" s="86"/>
      <c r="J625" s="86">
        <v>0</v>
      </c>
      <c r="K625" s="86"/>
      <c r="L625" s="86">
        <v>0</v>
      </c>
      <c r="M625" s="86">
        <v>0</v>
      </c>
      <c r="N625" s="87">
        <f t="shared" si="104"/>
        <v>0</v>
      </c>
    </row>
    <row r="626" spans="2:14" ht="20.100000000000001" customHeight="1">
      <c r="B626" s="85" t="s">
        <v>535</v>
      </c>
      <c r="C626" s="94" t="s">
        <v>536</v>
      </c>
      <c r="D626" s="86"/>
      <c r="E626" s="86"/>
      <c r="F626" s="86"/>
      <c r="G626" s="86"/>
      <c r="H626" s="106"/>
      <c r="I626" s="86"/>
      <c r="J626" s="107">
        <v>0</v>
      </c>
      <c r="K626" s="108">
        <v>0</v>
      </c>
      <c r="L626" s="107">
        <v>0</v>
      </c>
      <c r="M626" s="108">
        <v>0</v>
      </c>
      <c r="N626" s="87">
        <f t="shared" si="104"/>
        <v>0</v>
      </c>
    </row>
    <row r="627" spans="2:14" ht="20.100000000000001" customHeight="1">
      <c r="B627" s="85" t="s">
        <v>1097</v>
      </c>
      <c r="C627" s="94" t="s">
        <v>1098</v>
      </c>
      <c r="D627" s="86"/>
      <c r="E627" s="86"/>
      <c r="F627" s="86"/>
      <c r="G627" s="86"/>
      <c r="H627" s="106"/>
      <c r="I627" s="86"/>
      <c r="J627" s="107"/>
      <c r="K627" s="108"/>
      <c r="L627" s="107"/>
      <c r="M627" s="108"/>
      <c r="N627" s="87"/>
    </row>
    <row r="628" spans="2:14" ht="20.100000000000001" customHeight="1">
      <c r="B628" s="85" t="s">
        <v>1099</v>
      </c>
      <c r="C628" s="94" t="s">
        <v>1100</v>
      </c>
      <c r="D628" s="86"/>
      <c r="E628" s="86"/>
      <c r="F628" s="86"/>
      <c r="G628" s="86"/>
      <c r="H628" s="106"/>
      <c r="I628" s="86"/>
      <c r="J628" s="107"/>
      <c r="K628" s="108"/>
      <c r="L628" s="107"/>
      <c r="M628" s="108"/>
      <c r="N628" s="87"/>
    </row>
    <row r="629" spans="2:14" ht="20.100000000000001" customHeight="1">
      <c r="B629" s="85" t="s">
        <v>94</v>
      </c>
      <c r="C629" s="94" t="s">
        <v>95</v>
      </c>
      <c r="D629" s="86"/>
      <c r="E629" s="86"/>
      <c r="F629" s="86"/>
      <c r="G629" s="86"/>
      <c r="H629" s="106"/>
      <c r="I629" s="86"/>
      <c r="J629" s="107">
        <v>0</v>
      </c>
      <c r="K629" s="108">
        <v>0</v>
      </c>
      <c r="L629" s="107">
        <v>0</v>
      </c>
      <c r="M629" s="108">
        <v>0</v>
      </c>
      <c r="N629" s="87">
        <f t="shared" ref="N629:N636" si="106">M629+L629+K629+J629</f>
        <v>0</v>
      </c>
    </row>
    <row r="630" spans="2:14" ht="20.100000000000001" customHeight="1">
      <c r="B630" s="85" t="s">
        <v>514</v>
      </c>
      <c r="C630" s="94" t="s">
        <v>515</v>
      </c>
      <c r="D630" s="86"/>
      <c r="E630" s="86"/>
      <c r="F630" s="86"/>
      <c r="G630" s="86"/>
      <c r="H630" s="87"/>
      <c r="I630" s="86"/>
      <c r="J630" s="86">
        <v>0</v>
      </c>
      <c r="K630" s="86">
        <v>0</v>
      </c>
      <c r="L630" s="86">
        <v>0</v>
      </c>
      <c r="M630" s="86">
        <v>0</v>
      </c>
      <c r="N630" s="87">
        <f t="shared" si="106"/>
        <v>0</v>
      </c>
    </row>
    <row r="631" spans="2:14" ht="20.100000000000001" customHeight="1">
      <c r="B631" s="85" t="s">
        <v>571</v>
      </c>
      <c r="C631" s="94" t="s">
        <v>572</v>
      </c>
      <c r="D631" s="86"/>
      <c r="E631" s="86"/>
      <c r="F631" s="86"/>
      <c r="G631" s="86"/>
      <c r="H631" s="87"/>
      <c r="I631" s="86"/>
      <c r="J631" s="86">
        <v>0</v>
      </c>
      <c r="K631" s="86">
        <v>0</v>
      </c>
      <c r="L631" s="86">
        <v>0</v>
      </c>
      <c r="M631" s="86">
        <v>0</v>
      </c>
      <c r="N631" s="87">
        <f t="shared" si="106"/>
        <v>0</v>
      </c>
    </row>
    <row r="632" spans="2:14" ht="20.100000000000001" customHeight="1">
      <c r="B632" s="85" t="s">
        <v>687</v>
      </c>
      <c r="C632" s="94" t="s">
        <v>572</v>
      </c>
      <c r="D632" s="86"/>
      <c r="E632" s="86"/>
      <c r="F632" s="86"/>
      <c r="G632" s="86"/>
      <c r="H632" s="87"/>
      <c r="I632" s="86"/>
      <c r="J632" s="86">
        <v>0</v>
      </c>
      <c r="K632" s="86">
        <v>0</v>
      </c>
      <c r="L632" s="86">
        <v>0</v>
      </c>
      <c r="M632" s="86">
        <v>0</v>
      </c>
      <c r="N632" s="87">
        <f t="shared" si="106"/>
        <v>0</v>
      </c>
    </row>
    <row r="633" spans="2:14" ht="20.100000000000001" customHeight="1">
      <c r="B633" s="85" t="s">
        <v>567</v>
      </c>
      <c r="C633" s="94" t="s">
        <v>568</v>
      </c>
      <c r="D633" s="86"/>
      <c r="E633" s="86"/>
      <c r="F633" s="86"/>
      <c r="G633" s="86"/>
      <c r="H633" s="87"/>
      <c r="I633" s="86"/>
      <c r="J633" s="86">
        <v>0</v>
      </c>
      <c r="K633" s="86">
        <v>0</v>
      </c>
      <c r="L633" s="86">
        <v>0</v>
      </c>
      <c r="M633" s="86">
        <v>0</v>
      </c>
      <c r="N633" s="87">
        <f t="shared" si="106"/>
        <v>0</v>
      </c>
    </row>
    <row r="634" spans="2:14" ht="20.100000000000001" customHeight="1">
      <c r="B634" s="85" t="s">
        <v>569</v>
      </c>
      <c r="C634" s="94" t="s">
        <v>570</v>
      </c>
      <c r="D634" s="86"/>
      <c r="E634" s="86"/>
      <c r="F634" s="86"/>
      <c r="G634" s="86"/>
      <c r="H634" s="87"/>
      <c r="I634" s="86"/>
      <c r="J634" s="86">
        <v>0</v>
      </c>
      <c r="K634" s="86">
        <v>0</v>
      </c>
      <c r="L634" s="86">
        <v>0</v>
      </c>
      <c r="M634" s="86">
        <v>0</v>
      </c>
      <c r="N634" s="87">
        <f t="shared" si="106"/>
        <v>0</v>
      </c>
    </row>
    <row r="635" spans="2:14" ht="20.100000000000001" customHeight="1">
      <c r="B635" s="85" t="s">
        <v>539</v>
      </c>
      <c r="C635" s="105" t="s">
        <v>540</v>
      </c>
      <c r="D635" s="86"/>
      <c r="E635" s="86"/>
      <c r="F635" s="86"/>
      <c r="G635" s="86"/>
      <c r="H635" s="87"/>
      <c r="I635" s="86"/>
      <c r="J635" s="86">
        <v>0</v>
      </c>
      <c r="K635" s="86">
        <v>0</v>
      </c>
      <c r="L635" s="86">
        <v>0</v>
      </c>
      <c r="M635" s="86">
        <v>0</v>
      </c>
      <c r="N635" s="87">
        <f t="shared" si="106"/>
        <v>0</v>
      </c>
    </row>
    <row r="636" spans="2:14" ht="20.100000000000001" customHeight="1">
      <c r="B636" s="85" t="s">
        <v>541</v>
      </c>
      <c r="C636" s="105" t="s">
        <v>1044</v>
      </c>
      <c r="D636" s="89"/>
      <c r="E636" s="89"/>
      <c r="F636" s="89"/>
      <c r="G636" s="89"/>
      <c r="H636" s="90"/>
      <c r="I636" s="89"/>
      <c r="J636" s="89">
        <v>0</v>
      </c>
      <c r="K636" s="89">
        <v>0</v>
      </c>
      <c r="L636" s="89">
        <v>0</v>
      </c>
      <c r="M636" s="89">
        <v>0</v>
      </c>
      <c r="N636" s="90">
        <f t="shared" si="106"/>
        <v>0</v>
      </c>
    </row>
    <row r="637" spans="2:14" ht="20.100000000000001" customHeight="1">
      <c r="B637" s="320" t="s">
        <v>96</v>
      </c>
      <c r="C637" s="321"/>
      <c r="D637" s="48">
        <f>SUM(D612:D636)</f>
        <v>0</v>
      </c>
      <c r="E637" s="48">
        <f>SUM(E612:E636)</f>
        <v>0</v>
      </c>
      <c r="F637" s="48">
        <f>SUM(F612:F636)</f>
        <v>0</v>
      </c>
      <c r="G637" s="48"/>
      <c r="H637" s="48">
        <f t="shared" ref="H637:N637" si="107">SUM(H612:H636)</f>
        <v>0</v>
      </c>
      <c r="I637" s="48">
        <f t="shared" si="107"/>
        <v>0</v>
      </c>
      <c r="J637" s="48">
        <f t="shared" si="107"/>
        <v>0</v>
      </c>
      <c r="K637" s="48">
        <f t="shared" si="107"/>
        <v>0</v>
      </c>
      <c r="L637" s="48">
        <f t="shared" si="107"/>
        <v>0</v>
      </c>
      <c r="M637" s="48">
        <f t="shared" si="107"/>
        <v>0</v>
      </c>
      <c r="N637" s="48">
        <f t="shared" si="107"/>
        <v>0</v>
      </c>
    </row>
    <row r="638" spans="2:14" ht="20.25" customHeight="1">
      <c r="B638" s="294" t="s">
        <v>97</v>
      </c>
      <c r="C638" s="295"/>
      <c r="D638" s="36">
        <f>D637+D603</f>
        <v>0</v>
      </c>
      <c r="E638" s="36">
        <f>E637+E603</f>
        <v>0</v>
      </c>
      <c r="F638" s="36">
        <f>F637+F603</f>
        <v>0</v>
      </c>
      <c r="G638" s="36"/>
      <c r="H638" s="36">
        <f t="shared" ref="H638:N638" si="108">H637+H603</f>
        <v>0</v>
      </c>
      <c r="I638" s="36">
        <f t="shared" si="108"/>
        <v>0</v>
      </c>
      <c r="J638" s="36">
        <f t="shared" si="108"/>
        <v>0</v>
      </c>
      <c r="K638" s="36">
        <f t="shared" si="108"/>
        <v>0</v>
      </c>
      <c r="L638" s="36">
        <f t="shared" si="108"/>
        <v>0</v>
      </c>
      <c r="M638" s="36">
        <f t="shared" si="108"/>
        <v>0</v>
      </c>
      <c r="N638" s="36">
        <f t="shared" si="108"/>
        <v>0</v>
      </c>
    </row>
    <row r="639" spans="2:14" ht="22.5" customHeight="1">
      <c r="B639" s="15"/>
      <c r="C639" s="15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2:14" ht="20.25" customHeight="1">
      <c r="B640" s="15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2:14" ht="21.75" customHeight="1">
      <c r="B641" s="15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2:14" ht="21.75" customHeight="1">
      <c r="B642" s="286" t="s">
        <v>0</v>
      </c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</row>
    <row r="643" spans="2:14" ht="21.75" customHeight="1" thickBot="1">
      <c r="B643" s="287" t="s">
        <v>1310</v>
      </c>
      <c r="C643" s="288"/>
      <c r="D643" s="288"/>
      <c r="E643" s="288"/>
      <c r="F643" s="288"/>
      <c r="G643" s="288"/>
      <c r="H643" s="288"/>
      <c r="I643" s="288"/>
      <c r="J643" s="288"/>
      <c r="K643" s="288"/>
      <c r="L643" s="288"/>
      <c r="M643" s="288"/>
      <c r="N643" s="288"/>
    </row>
    <row r="644" spans="2:14" ht="30.75" customHeight="1" thickBot="1">
      <c r="B644" s="289" t="s">
        <v>1</v>
      </c>
      <c r="C644" s="25" t="s">
        <v>192</v>
      </c>
      <c r="D644" s="4" t="s">
        <v>40</v>
      </c>
      <c r="E644" s="3" t="s">
        <v>3</v>
      </c>
      <c r="F644" s="3" t="s">
        <v>4</v>
      </c>
      <c r="G644" s="3"/>
      <c r="H644" s="3" t="s">
        <v>5</v>
      </c>
      <c r="I644" s="5" t="s">
        <v>6</v>
      </c>
      <c r="J644" s="278" t="s">
        <v>5</v>
      </c>
      <c r="K644" s="279"/>
      <c r="L644" s="279"/>
      <c r="M644" s="279"/>
      <c r="N644" s="280"/>
    </row>
    <row r="645" spans="2:14" ht="20.100000000000001" customHeight="1">
      <c r="B645" s="290"/>
      <c r="C645" s="114" t="s">
        <v>193</v>
      </c>
      <c r="D645" s="6" t="s">
        <v>7</v>
      </c>
      <c r="E645" s="6" t="s">
        <v>7</v>
      </c>
      <c r="F645" s="6" t="s">
        <v>7</v>
      </c>
      <c r="G645" s="7"/>
      <c r="H645" s="7" t="s">
        <v>7</v>
      </c>
      <c r="I645" s="8" t="s">
        <v>7</v>
      </c>
      <c r="J645" s="44" t="s">
        <v>8</v>
      </c>
      <c r="K645" s="45" t="s">
        <v>9</v>
      </c>
      <c r="L645" s="45" t="s">
        <v>10</v>
      </c>
      <c r="M645" s="46" t="s">
        <v>11</v>
      </c>
      <c r="N645" s="297" t="s">
        <v>12</v>
      </c>
    </row>
    <row r="646" spans="2:14" ht="20.100000000000001" customHeight="1" thickBot="1">
      <c r="B646" s="291"/>
      <c r="C646" s="17"/>
      <c r="D646" s="10" t="s">
        <v>13</v>
      </c>
      <c r="E646" s="10" t="s">
        <v>13</v>
      </c>
      <c r="F646" s="10" t="s">
        <v>13</v>
      </c>
      <c r="G646" s="11"/>
      <c r="H646" s="11" t="s">
        <v>13</v>
      </c>
      <c r="I646" s="11" t="s">
        <v>13</v>
      </c>
      <c r="J646" s="12" t="s">
        <v>13</v>
      </c>
      <c r="K646" s="13" t="s">
        <v>13</v>
      </c>
      <c r="L646" s="13" t="s">
        <v>13</v>
      </c>
      <c r="M646" s="14" t="s">
        <v>13</v>
      </c>
      <c r="N646" s="298"/>
    </row>
    <row r="647" spans="2:14" ht="20.100000000000001" customHeight="1">
      <c r="B647" s="33" t="s">
        <v>98</v>
      </c>
      <c r="C647" s="34"/>
      <c r="D647" s="34"/>
      <c r="E647" s="34"/>
      <c r="F647" s="34"/>
      <c r="G647" s="34"/>
      <c r="H647" s="34"/>
      <c r="I647" s="38"/>
      <c r="J647" s="34"/>
      <c r="K647" s="34"/>
      <c r="L647" s="34"/>
      <c r="M647" s="34"/>
      <c r="N647" s="39"/>
    </row>
    <row r="648" spans="2:14" ht="20.100000000000001" customHeight="1">
      <c r="B648" s="70" t="s">
        <v>320</v>
      </c>
      <c r="C648" s="70" t="s">
        <v>321</v>
      </c>
      <c r="D648" s="71"/>
      <c r="E648" s="71"/>
      <c r="F648" s="71"/>
      <c r="G648" s="71"/>
      <c r="H648" s="72"/>
      <c r="I648" s="71"/>
      <c r="J648" s="71"/>
      <c r="K648" s="71">
        <v>0</v>
      </c>
      <c r="L648" s="71">
        <v>0</v>
      </c>
      <c r="M648" s="71">
        <v>0</v>
      </c>
      <c r="N648" s="72">
        <f t="shared" ref="N648:N661" si="109">M648+L648+K648+J648</f>
        <v>0</v>
      </c>
    </row>
    <row r="649" spans="2:14" ht="20.100000000000001" customHeight="1">
      <c r="B649" s="70" t="s">
        <v>1289</v>
      </c>
      <c r="C649" s="70" t="s">
        <v>1290</v>
      </c>
      <c r="D649" s="71"/>
      <c r="E649" s="71"/>
      <c r="F649" s="71"/>
      <c r="G649" s="71"/>
      <c r="H649" s="72"/>
      <c r="I649" s="71"/>
      <c r="J649" s="71"/>
      <c r="K649" s="71">
        <v>0</v>
      </c>
      <c r="L649" s="71">
        <v>0</v>
      </c>
      <c r="M649" s="71">
        <v>0</v>
      </c>
      <c r="N649" s="72">
        <f t="shared" ref="N649" si="110">M649+L649+K649+J649</f>
        <v>0</v>
      </c>
    </row>
    <row r="650" spans="2:14" ht="24" customHeight="1">
      <c r="B650" s="70" t="s">
        <v>683</v>
      </c>
      <c r="C650" s="70" t="s">
        <v>935</v>
      </c>
      <c r="D650" s="71"/>
      <c r="E650" s="71"/>
      <c r="F650" s="71"/>
      <c r="G650" s="71"/>
      <c r="H650" s="72"/>
      <c r="I650" s="71"/>
      <c r="J650" s="71"/>
      <c r="K650" s="71">
        <v>0</v>
      </c>
      <c r="L650" s="71">
        <v>0</v>
      </c>
      <c r="M650" s="71">
        <v>0</v>
      </c>
      <c r="N650" s="72">
        <f t="shared" si="109"/>
        <v>0</v>
      </c>
    </row>
    <row r="651" spans="2:14" ht="24" customHeight="1">
      <c r="B651" s="70" t="s">
        <v>683</v>
      </c>
      <c r="C651" s="70" t="s">
        <v>1066</v>
      </c>
      <c r="D651" s="71"/>
      <c r="E651" s="71"/>
      <c r="F651" s="71"/>
      <c r="G651" s="71"/>
      <c r="H651" s="72"/>
      <c r="I651" s="71"/>
      <c r="J651" s="71"/>
      <c r="K651" s="71">
        <v>0</v>
      </c>
      <c r="L651" s="71">
        <v>0</v>
      </c>
      <c r="M651" s="71">
        <v>0</v>
      </c>
      <c r="N651" s="72">
        <f t="shared" si="109"/>
        <v>0</v>
      </c>
    </row>
    <row r="652" spans="2:14" ht="24" customHeight="1">
      <c r="B652" s="70" t="s">
        <v>1148</v>
      </c>
      <c r="C652" s="70" t="s">
        <v>1149</v>
      </c>
      <c r="D652" s="71"/>
      <c r="E652" s="71"/>
      <c r="F652" s="71"/>
      <c r="G652" s="71"/>
      <c r="H652" s="72"/>
      <c r="I652" s="71"/>
      <c r="J652" s="71"/>
      <c r="K652" s="71">
        <v>0</v>
      </c>
      <c r="L652" s="71">
        <v>0</v>
      </c>
      <c r="M652" s="71">
        <v>0</v>
      </c>
      <c r="N652" s="72">
        <f t="shared" ref="N652" si="111">M652+L652+K652+J652</f>
        <v>0</v>
      </c>
    </row>
    <row r="653" spans="2:14" ht="24" customHeight="1">
      <c r="B653" s="70" t="s">
        <v>1069</v>
      </c>
      <c r="C653" s="70" t="s">
        <v>1070</v>
      </c>
      <c r="D653" s="71"/>
      <c r="E653" s="71"/>
      <c r="F653" s="71"/>
      <c r="G653" s="71"/>
      <c r="H653" s="72"/>
      <c r="I653" s="71"/>
      <c r="J653" s="71"/>
      <c r="K653" s="71">
        <v>0</v>
      </c>
      <c r="L653" s="71">
        <v>0</v>
      </c>
      <c r="M653" s="71">
        <v>0</v>
      </c>
      <c r="N653" s="72">
        <f t="shared" si="109"/>
        <v>0</v>
      </c>
    </row>
    <row r="654" spans="2:14" ht="25.5" customHeight="1">
      <c r="B654" s="70" t="s">
        <v>99</v>
      </c>
      <c r="C654" s="70" t="s">
        <v>185</v>
      </c>
      <c r="D654" s="71"/>
      <c r="E654" s="71"/>
      <c r="F654" s="71"/>
      <c r="G654" s="71"/>
      <c r="H654" s="72"/>
      <c r="I654" s="71"/>
      <c r="J654" s="71"/>
      <c r="K654" s="71">
        <v>0</v>
      </c>
      <c r="L654" s="71">
        <v>0</v>
      </c>
      <c r="M654" s="71">
        <v>0</v>
      </c>
      <c r="N654" s="72">
        <f t="shared" si="109"/>
        <v>0</v>
      </c>
    </row>
    <row r="655" spans="2:14" ht="25.5" customHeight="1">
      <c r="B655" s="73" t="s">
        <v>100</v>
      </c>
      <c r="C655" s="70" t="s">
        <v>101</v>
      </c>
      <c r="D655" s="71"/>
      <c r="E655" s="71"/>
      <c r="F655" s="71"/>
      <c r="G655" s="71"/>
      <c r="H655" s="72"/>
      <c r="I655" s="71"/>
      <c r="J655" s="71"/>
      <c r="K655" s="71">
        <v>0</v>
      </c>
      <c r="L655" s="71">
        <v>0</v>
      </c>
      <c r="M655" s="71">
        <v>0</v>
      </c>
      <c r="N655" s="72">
        <f t="shared" si="109"/>
        <v>0</v>
      </c>
    </row>
    <row r="656" spans="2:14" ht="24" customHeight="1">
      <c r="B656" s="73" t="s">
        <v>100</v>
      </c>
      <c r="C656" s="70" t="s">
        <v>102</v>
      </c>
      <c r="D656" s="71"/>
      <c r="E656" s="71"/>
      <c r="F656" s="71"/>
      <c r="G656" s="71"/>
      <c r="H656" s="72"/>
      <c r="I656" s="71"/>
      <c r="J656" s="71"/>
      <c r="K656" s="71">
        <v>0</v>
      </c>
      <c r="L656" s="71">
        <v>0</v>
      </c>
      <c r="M656" s="71">
        <v>0</v>
      </c>
      <c r="N656" s="72">
        <f t="shared" si="109"/>
        <v>0</v>
      </c>
    </row>
    <row r="657" spans="2:14" ht="25.5" customHeight="1">
      <c r="B657" s="73" t="s">
        <v>759</v>
      </c>
      <c r="C657" s="70" t="s">
        <v>760</v>
      </c>
      <c r="D657" s="71"/>
      <c r="E657" s="71"/>
      <c r="F657" s="71"/>
      <c r="G657" s="71"/>
      <c r="H657" s="72"/>
      <c r="I657" s="71"/>
      <c r="J657" s="71"/>
      <c r="K657" s="71">
        <v>0</v>
      </c>
      <c r="L657" s="71">
        <v>0</v>
      </c>
      <c r="M657" s="71">
        <v>0</v>
      </c>
      <c r="N657" s="72">
        <f t="shared" si="109"/>
        <v>0</v>
      </c>
    </row>
    <row r="658" spans="2:14" ht="23.25" customHeight="1">
      <c r="B658" s="70" t="s">
        <v>318</v>
      </c>
      <c r="C658" s="70" t="s">
        <v>319</v>
      </c>
      <c r="D658" s="71"/>
      <c r="E658" s="71"/>
      <c r="F658" s="71"/>
      <c r="G658" s="71"/>
      <c r="H658" s="72"/>
      <c r="I658" s="71"/>
      <c r="J658" s="71"/>
      <c r="K658" s="71">
        <v>0</v>
      </c>
      <c r="L658" s="71">
        <v>0</v>
      </c>
      <c r="M658" s="71">
        <v>0</v>
      </c>
      <c r="N658" s="72">
        <f t="shared" si="109"/>
        <v>0</v>
      </c>
    </row>
    <row r="659" spans="2:14" ht="23.25" customHeight="1">
      <c r="B659" s="70" t="s">
        <v>1067</v>
      </c>
      <c r="C659" s="70" t="s">
        <v>1068</v>
      </c>
      <c r="D659" s="71"/>
      <c r="E659" s="71"/>
      <c r="F659" s="71"/>
      <c r="G659" s="71"/>
      <c r="H659" s="72"/>
      <c r="I659" s="71"/>
      <c r="J659" s="71"/>
      <c r="K659" s="71">
        <v>0</v>
      </c>
      <c r="L659" s="71">
        <v>0</v>
      </c>
      <c r="M659" s="71">
        <v>0</v>
      </c>
      <c r="N659" s="72">
        <f t="shared" si="109"/>
        <v>0</v>
      </c>
    </row>
    <row r="660" spans="2:14" ht="20.25" customHeight="1">
      <c r="B660" s="73" t="s">
        <v>103</v>
      </c>
      <c r="C660" s="70" t="s">
        <v>186</v>
      </c>
      <c r="D660" s="71"/>
      <c r="E660" s="71"/>
      <c r="F660" s="71"/>
      <c r="G660" s="71"/>
      <c r="H660" s="72"/>
      <c r="I660" s="71"/>
      <c r="J660" s="71"/>
      <c r="K660" s="71">
        <v>0</v>
      </c>
      <c r="L660" s="71">
        <v>0</v>
      </c>
      <c r="M660" s="71">
        <v>0</v>
      </c>
      <c r="N660" s="72">
        <f t="shared" si="109"/>
        <v>0</v>
      </c>
    </row>
    <row r="661" spans="2:14" ht="19.5" customHeight="1">
      <c r="B661" s="70" t="s">
        <v>104</v>
      </c>
      <c r="C661" s="70" t="s">
        <v>187</v>
      </c>
      <c r="D661" s="71"/>
      <c r="E661" s="71"/>
      <c r="F661" s="71"/>
      <c r="G661" s="71"/>
      <c r="H661" s="72"/>
      <c r="I661" s="71"/>
      <c r="J661" s="71"/>
      <c r="K661" s="71">
        <v>0</v>
      </c>
      <c r="L661" s="71">
        <v>0</v>
      </c>
      <c r="M661" s="71">
        <v>0</v>
      </c>
      <c r="N661" s="72">
        <f t="shared" si="109"/>
        <v>0</v>
      </c>
    </row>
    <row r="662" spans="2:14" ht="18.75" customHeight="1">
      <c r="B662" s="301" t="s">
        <v>105</v>
      </c>
      <c r="C662" s="302"/>
      <c r="D662" s="47">
        <f>SUM(D648:D661)</f>
        <v>0</v>
      </c>
      <c r="E662" s="47">
        <f>SUM(E648:E661)</f>
        <v>0</v>
      </c>
      <c r="F662" s="47">
        <f>SUM(F648:F661)</f>
        <v>0</v>
      </c>
      <c r="G662" s="47"/>
      <c r="H662" s="47">
        <f t="shared" ref="H662:N662" si="112">SUM(H648:H661)</f>
        <v>0</v>
      </c>
      <c r="I662" s="47">
        <f t="shared" si="112"/>
        <v>0</v>
      </c>
      <c r="J662" s="47">
        <f t="shared" si="112"/>
        <v>0</v>
      </c>
      <c r="K662" s="47">
        <f t="shared" si="112"/>
        <v>0</v>
      </c>
      <c r="L662" s="47">
        <f t="shared" si="112"/>
        <v>0</v>
      </c>
      <c r="M662" s="47">
        <f t="shared" si="112"/>
        <v>0</v>
      </c>
      <c r="N662" s="47">
        <f t="shared" si="112"/>
        <v>0</v>
      </c>
    </row>
    <row r="663" spans="2:14" ht="15.75">
      <c r="B663" s="294" t="s">
        <v>106</v>
      </c>
      <c r="C663" s="295"/>
      <c r="D663" s="36">
        <f>D662+D536</f>
        <v>0</v>
      </c>
      <c r="E663" s="36">
        <f>E662+E536</f>
        <v>0</v>
      </c>
      <c r="F663" s="36">
        <f>F662+F536</f>
        <v>0</v>
      </c>
      <c r="G663" s="36"/>
      <c r="H663" s="36">
        <f t="shared" ref="H663:N663" si="113">H662+H536</f>
        <v>0</v>
      </c>
      <c r="I663" s="36">
        <f t="shared" si="113"/>
        <v>0</v>
      </c>
      <c r="J663" s="36">
        <f t="shared" si="113"/>
        <v>0</v>
      </c>
      <c r="K663" s="36">
        <f t="shared" si="113"/>
        <v>0</v>
      </c>
      <c r="L663" s="36">
        <f t="shared" si="113"/>
        <v>0</v>
      </c>
      <c r="M663" s="36">
        <f t="shared" si="113"/>
        <v>0</v>
      </c>
      <c r="N663" s="36">
        <f t="shared" si="113"/>
        <v>0</v>
      </c>
    </row>
    <row r="664" spans="2:14" ht="6.75" customHeight="1" thickBot="1">
      <c r="B664" s="49"/>
      <c r="C664" s="49"/>
      <c r="D664" s="50"/>
      <c r="E664" s="50"/>
      <c r="F664" s="50"/>
      <c r="G664" s="50"/>
      <c r="H664" s="50"/>
      <c r="I664" s="50"/>
      <c r="J664" s="51"/>
      <c r="K664" s="51"/>
      <c r="L664" s="51"/>
      <c r="M664" s="51"/>
      <c r="N664" s="51"/>
    </row>
    <row r="665" spans="2:14" ht="25.5" customHeight="1" thickBot="1">
      <c r="B665" s="322" t="s">
        <v>107</v>
      </c>
      <c r="C665" s="323"/>
      <c r="D665" s="27">
        <f>D663+D638+D592+D422+D229+D146</f>
        <v>0</v>
      </c>
      <c r="E665" s="27">
        <f>E663+E638+E592+E422+E229+E146</f>
        <v>0</v>
      </c>
      <c r="F665" s="27">
        <f>F663+F638+F592+F422+F229+F146</f>
        <v>0</v>
      </c>
      <c r="G665" s="27"/>
      <c r="H665" s="27">
        <f t="shared" ref="H665:N665" si="114">H663+H638+H592+H422+H229+H146</f>
        <v>0</v>
      </c>
      <c r="I665" s="27">
        <f t="shared" si="114"/>
        <v>0</v>
      </c>
      <c r="J665" s="27">
        <f t="shared" si="114"/>
        <v>0</v>
      </c>
      <c r="K665" s="27">
        <f t="shared" si="114"/>
        <v>0</v>
      </c>
      <c r="L665" s="27">
        <f t="shared" si="114"/>
        <v>0</v>
      </c>
      <c r="M665" s="27">
        <f t="shared" si="114"/>
        <v>0</v>
      </c>
      <c r="N665" s="27">
        <f t="shared" si="114"/>
        <v>0</v>
      </c>
    </row>
    <row r="666" spans="2:14">
      <c r="B666" s="19"/>
      <c r="C666" s="18"/>
      <c r="D666" s="20"/>
      <c r="E666" s="18"/>
      <c r="F666" s="18"/>
      <c r="G666" s="18"/>
      <c r="H666" s="18"/>
      <c r="I666" s="20"/>
      <c r="J666" s="2"/>
      <c r="K666" s="2"/>
      <c r="L666" s="2"/>
      <c r="M666" s="2"/>
      <c r="N666" s="2"/>
    </row>
    <row r="667" spans="2:14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28.5">
      <c r="B669" s="307" t="s">
        <v>108</v>
      </c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1"/>
    </row>
    <row r="670" spans="2:14" ht="24.75" customHeight="1">
      <c r="B670" s="308" t="s">
        <v>1310</v>
      </c>
      <c r="C670" s="308"/>
      <c r="D670" s="308"/>
      <c r="E670" s="308"/>
      <c r="F670" s="308"/>
      <c r="G670" s="308"/>
      <c r="H670" s="308"/>
      <c r="I670" s="308"/>
      <c r="J670" s="308"/>
      <c r="K670" s="308"/>
      <c r="L670" s="308"/>
      <c r="M670" s="308"/>
      <c r="N670" s="1"/>
    </row>
    <row r="671" spans="2:14" ht="7.5" customHeight="1" thickBot="1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1"/>
    </row>
    <row r="672" spans="2:14" ht="21.75" thickTop="1">
      <c r="B672" s="189" t="s">
        <v>109</v>
      </c>
      <c r="C672" s="190"/>
      <c r="D672" s="190"/>
      <c r="E672" s="191"/>
      <c r="F672" s="191"/>
      <c r="G672" s="192"/>
      <c r="H672" s="28"/>
      <c r="I672" s="28"/>
      <c r="J672" s="28"/>
      <c r="K672" s="28"/>
      <c r="L672" s="28"/>
      <c r="M672" s="28"/>
      <c r="N672" s="1"/>
    </row>
    <row r="673" spans="2:15" ht="21" customHeight="1">
      <c r="B673" s="309" t="s">
        <v>811</v>
      </c>
      <c r="C673" s="311" t="s">
        <v>40</v>
      </c>
      <c r="D673" s="265" t="s">
        <v>3</v>
      </c>
      <c r="E673" s="265"/>
      <c r="F673" s="265" t="s">
        <v>5</v>
      </c>
      <c r="G673" s="267" t="s">
        <v>110</v>
      </c>
      <c r="H673" s="28"/>
      <c r="I673" s="28"/>
      <c r="J673" s="28"/>
      <c r="K673" s="28"/>
      <c r="L673" s="28"/>
      <c r="M673" s="28"/>
      <c r="N673" s="319" t="s">
        <v>148</v>
      </c>
      <c r="O673" s="319"/>
    </row>
    <row r="674" spans="2:15" ht="15" customHeight="1">
      <c r="B674" s="310"/>
      <c r="C674" s="312"/>
      <c r="D674" s="266"/>
      <c r="E674" s="266"/>
      <c r="F674" s="266"/>
      <c r="G674" s="268"/>
      <c r="I674" s="29"/>
      <c r="J674" s="29"/>
      <c r="K674" s="29"/>
      <c r="L674" s="29"/>
      <c r="M674" s="29"/>
      <c r="N674" s="306">
        <v>2025</v>
      </c>
      <c r="O674" s="306"/>
    </row>
    <row r="675" spans="2:15" ht="16.5" thickBot="1">
      <c r="B675" s="178" t="s">
        <v>111</v>
      </c>
      <c r="C675" s="205">
        <v>549.03</v>
      </c>
      <c r="D675" s="205">
        <v>2666.09</v>
      </c>
      <c r="E675" s="205"/>
      <c r="F675" s="205">
        <v>2752.98</v>
      </c>
      <c r="G675" s="206">
        <v>472.96</v>
      </c>
      <c r="I675" s="26"/>
      <c r="J675" s="26"/>
      <c r="K675" s="26"/>
      <c r="L675" s="26"/>
      <c r="M675" s="26"/>
      <c r="N675" s="180"/>
      <c r="O675" s="180"/>
    </row>
    <row r="676" spans="2:15" ht="19.5" thickBot="1">
      <c r="B676" s="178" t="s">
        <v>112</v>
      </c>
      <c r="C676" s="205">
        <v>58.4</v>
      </c>
      <c r="D676" s="205">
        <v>217.09</v>
      </c>
      <c r="E676" s="205"/>
      <c r="F676" s="205">
        <v>216.89</v>
      </c>
      <c r="G676" s="206">
        <v>63.65</v>
      </c>
      <c r="I676" s="26"/>
      <c r="J676" s="26"/>
      <c r="K676" s="26"/>
      <c r="L676" s="26"/>
      <c r="M676" s="26"/>
      <c r="N676" s="52" t="s">
        <v>124</v>
      </c>
      <c r="O676" s="250">
        <v>452</v>
      </c>
    </row>
    <row r="677" spans="2:15" ht="19.5" thickBot="1">
      <c r="B677" s="178" t="s">
        <v>113</v>
      </c>
      <c r="C677" s="205">
        <v>156.16999999999999</v>
      </c>
      <c r="D677" s="205">
        <v>400.56</v>
      </c>
      <c r="E677" s="205"/>
      <c r="F677" s="205">
        <v>408.42</v>
      </c>
      <c r="G677" s="206">
        <v>156.51</v>
      </c>
      <c r="H677" s="26"/>
      <c r="I677" s="26"/>
      <c r="J677" s="26"/>
      <c r="K677" s="26"/>
      <c r="L677" s="26"/>
      <c r="M677" s="26"/>
      <c r="N677" s="52" t="s">
        <v>182</v>
      </c>
      <c r="O677" s="250">
        <v>66</v>
      </c>
    </row>
    <row r="678" spans="2:15" ht="19.5" thickBot="1">
      <c r="B678" s="178" t="s">
        <v>114</v>
      </c>
      <c r="C678" s="205">
        <v>21.28</v>
      </c>
      <c r="D678" s="205">
        <v>23.13</v>
      </c>
      <c r="E678" s="205"/>
      <c r="F678" s="205">
        <v>25.83</v>
      </c>
      <c r="G678" s="206">
        <v>22.4</v>
      </c>
      <c r="H678" s="26"/>
      <c r="I678" s="26"/>
      <c r="J678" s="26"/>
      <c r="K678" s="26"/>
      <c r="L678" s="26"/>
      <c r="M678" s="26"/>
      <c r="N678" s="52" t="s">
        <v>125</v>
      </c>
      <c r="O678" s="250">
        <v>149</v>
      </c>
    </row>
    <row r="679" spans="2:15" ht="19.5" thickBot="1">
      <c r="B679" s="178" t="s">
        <v>115</v>
      </c>
      <c r="C679" s="205">
        <v>151.54</v>
      </c>
      <c r="D679" s="205">
        <v>96.92</v>
      </c>
      <c r="E679" s="205"/>
      <c r="F679" s="205">
        <v>107.78</v>
      </c>
      <c r="G679" s="206">
        <v>154.6</v>
      </c>
      <c r="H679" s="26"/>
      <c r="I679" s="26"/>
      <c r="J679" s="26"/>
      <c r="K679" s="26"/>
      <c r="L679" s="26"/>
      <c r="M679" s="26"/>
      <c r="N679" s="52" t="s">
        <v>126</v>
      </c>
      <c r="O679" s="250">
        <v>3</v>
      </c>
    </row>
    <row r="680" spans="2:15" ht="19.5" thickBot="1">
      <c r="B680" s="179" t="s">
        <v>116</v>
      </c>
      <c r="C680" s="207">
        <v>1293.97</v>
      </c>
      <c r="D680" s="207">
        <v>801.36</v>
      </c>
      <c r="E680" s="207"/>
      <c r="F680" s="207">
        <v>642.44000000000005</v>
      </c>
      <c r="G680" s="208">
        <v>1211.49</v>
      </c>
      <c r="H680" s="26"/>
      <c r="I680" s="26"/>
      <c r="J680" s="26"/>
      <c r="K680" s="26"/>
      <c r="L680" s="26"/>
      <c r="M680" s="26"/>
      <c r="N680" s="53" t="s">
        <v>127</v>
      </c>
      <c r="O680" s="250">
        <v>136</v>
      </c>
    </row>
    <row r="681" spans="2:15" ht="4.5" hidden="1" customHeight="1">
      <c r="B681" s="259"/>
      <c r="C681" s="258"/>
      <c r="D681" s="258"/>
      <c r="E681" s="258"/>
      <c r="F681" s="258"/>
      <c r="G681" s="258"/>
      <c r="H681" s="26"/>
      <c r="I681" s="26"/>
      <c r="J681" s="26"/>
      <c r="K681" s="26"/>
      <c r="L681" s="26"/>
      <c r="M681" s="26"/>
      <c r="N681" s="52" t="s">
        <v>116</v>
      </c>
      <c r="O681" s="250">
        <v>1018</v>
      </c>
    </row>
    <row r="682" spans="2:15" ht="4.5" customHeight="1" thickBot="1"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1"/>
    </row>
    <row r="683" spans="2:15" ht="35.25" thickTop="1">
      <c r="B683" s="30" t="s">
        <v>117</v>
      </c>
      <c r="C683" s="186" t="s">
        <v>40</v>
      </c>
      <c r="D683" s="187" t="s">
        <v>3</v>
      </c>
      <c r="E683" s="187" t="s">
        <v>4</v>
      </c>
      <c r="F683" s="187" t="s">
        <v>5</v>
      </c>
      <c r="G683" s="188" t="s">
        <v>6</v>
      </c>
      <c r="H683" s="188" t="s">
        <v>118</v>
      </c>
      <c r="I683" s="313" t="s">
        <v>1142</v>
      </c>
      <c r="J683" s="314"/>
      <c r="K683" s="314"/>
      <c r="L683" s="314"/>
      <c r="M683" s="261"/>
      <c r="N683" s="1"/>
    </row>
    <row r="684" spans="2:15" ht="20.25">
      <c r="B684" s="31" t="s">
        <v>119</v>
      </c>
      <c r="C684" s="251" t="s">
        <v>7</v>
      </c>
      <c r="D684" s="251" t="s">
        <v>7</v>
      </c>
      <c r="E684" s="251" t="s">
        <v>7</v>
      </c>
      <c r="F684" s="252" t="s">
        <v>7</v>
      </c>
      <c r="G684" s="252" t="s">
        <v>7</v>
      </c>
      <c r="H684" s="252" t="s">
        <v>7</v>
      </c>
      <c r="I684" s="315" t="s">
        <v>1180</v>
      </c>
      <c r="J684" s="316"/>
      <c r="K684" s="315" t="s">
        <v>12</v>
      </c>
      <c r="L684" s="316"/>
      <c r="M684" s="324"/>
      <c r="N684" s="1"/>
    </row>
    <row r="685" spans="2:15" ht="21" thickBot="1">
      <c r="B685" s="32"/>
      <c r="C685" s="253" t="s">
        <v>13</v>
      </c>
      <c r="D685" s="253" t="s">
        <v>13</v>
      </c>
      <c r="E685" s="253" t="s">
        <v>13</v>
      </c>
      <c r="F685" s="254" t="s">
        <v>13</v>
      </c>
      <c r="G685" s="254" t="s">
        <v>13</v>
      </c>
      <c r="H685" s="254" t="s">
        <v>13</v>
      </c>
      <c r="I685" s="317" t="s">
        <v>1143</v>
      </c>
      <c r="J685" s="318"/>
      <c r="K685" s="317" t="s">
        <v>1143</v>
      </c>
      <c r="L685" s="325"/>
      <c r="M685" s="324"/>
      <c r="N685" s="1"/>
    </row>
    <row r="686" spans="2:15" ht="48" customHeight="1" thickBot="1">
      <c r="B686" s="194" t="s">
        <v>124</v>
      </c>
      <c r="C686" s="198">
        <v>299</v>
      </c>
      <c r="D686" s="198">
        <v>2434.16</v>
      </c>
      <c r="E686" s="198">
        <v>82.48</v>
      </c>
      <c r="F686" s="198">
        <v>2049.54</v>
      </c>
      <c r="G686" s="200">
        <v>765.95</v>
      </c>
      <c r="H686" s="198">
        <v>1300</v>
      </c>
      <c r="I686" s="272"/>
      <c r="J686" s="273"/>
      <c r="K686" s="272"/>
      <c r="L686" s="274"/>
      <c r="M686" s="262"/>
      <c r="N686" s="1"/>
    </row>
    <row r="687" spans="2:15" ht="48" customHeight="1" thickBot="1">
      <c r="B687" s="194" t="s">
        <v>16</v>
      </c>
      <c r="C687" s="200"/>
      <c r="D687" s="198"/>
      <c r="E687" s="198"/>
      <c r="F687" s="198"/>
      <c r="G687" s="200"/>
      <c r="H687" s="198">
        <v>100</v>
      </c>
      <c r="I687" s="272"/>
      <c r="J687" s="273"/>
      <c r="K687" s="272"/>
      <c r="L687" s="274"/>
      <c r="M687" s="262"/>
      <c r="N687" s="1"/>
    </row>
    <row r="688" spans="2:15" ht="48" customHeight="1" thickBot="1">
      <c r="B688" s="194" t="s">
        <v>125</v>
      </c>
      <c r="C688" s="200"/>
      <c r="D688" s="198"/>
      <c r="E688" s="198"/>
      <c r="F688" s="198"/>
      <c r="G688" s="200"/>
      <c r="H688" s="198">
        <v>200</v>
      </c>
      <c r="I688" s="272"/>
      <c r="J688" s="273"/>
      <c r="K688" s="272"/>
      <c r="L688" s="274"/>
      <c r="M688" s="262"/>
      <c r="N688" s="1"/>
    </row>
    <row r="689" spans="2:14" ht="48" customHeight="1" thickBot="1">
      <c r="B689" s="194" t="s">
        <v>126</v>
      </c>
      <c r="C689" s="200"/>
      <c r="D689" s="201"/>
      <c r="E689" s="201"/>
      <c r="F689" s="201"/>
      <c r="G689" s="200"/>
      <c r="H689" s="198">
        <v>20</v>
      </c>
      <c r="I689" s="272"/>
      <c r="J689" s="273"/>
      <c r="K689" s="272"/>
      <c r="L689" s="274"/>
      <c r="M689" s="262"/>
      <c r="N689" s="1"/>
    </row>
    <row r="690" spans="2:14" ht="48" customHeight="1" thickBot="1">
      <c r="B690" s="195" t="s">
        <v>127</v>
      </c>
      <c r="C690" s="200"/>
      <c r="D690" s="201"/>
      <c r="E690" s="201"/>
      <c r="F690" s="201"/>
      <c r="G690" s="199"/>
      <c r="H690" s="198">
        <v>90</v>
      </c>
      <c r="I690" s="272"/>
      <c r="J690" s="273"/>
      <c r="K690" s="272"/>
      <c r="L690" s="274"/>
      <c r="M690" s="262"/>
      <c r="N690" s="1"/>
    </row>
    <row r="691" spans="2:14" ht="48" customHeight="1" thickBot="1">
      <c r="B691" s="196" t="s">
        <v>116</v>
      </c>
      <c r="C691" s="202"/>
      <c r="D691" s="202"/>
      <c r="E691" s="202"/>
      <c r="F691" s="202"/>
      <c r="G691" s="260"/>
      <c r="H691" s="202">
        <v>700</v>
      </c>
      <c r="I691" s="275"/>
      <c r="J691" s="276"/>
      <c r="K691" s="275"/>
      <c r="L691" s="277"/>
      <c r="M691" s="262"/>
      <c r="N691" s="1"/>
    </row>
    <row r="692" spans="2:14" ht="4.5" customHeight="1" thickTop="1" thickBot="1">
      <c r="B692" s="185"/>
      <c r="C692" s="203"/>
      <c r="D692" s="203"/>
      <c r="E692" s="203"/>
      <c r="F692" s="203"/>
      <c r="G692" s="203"/>
      <c r="H692" s="203"/>
      <c r="I692" s="256"/>
      <c r="J692" s="256"/>
      <c r="K692" s="256"/>
      <c r="L692" s="256"/>
      <c r="M692" s="255"/>
      <c r="N692" s="1"/>
    </row>
    <row r="693" spans="2:14" ht="48" customHeight="1" thickTop="1" thickBot="1">
      <c r="B693" s="197" t="s">
        <v>518</v>
      </c>
      <c r="C693" s="204">
        <f>SUM(C686:C691)</f>
        <v>299</v>
      </c>
      <c r="D693" s="204">
        <f>SUM(D686:D691)</f>
        <v>2434.16</v>
      </c>
      <c r="E693" s="204">
        <f>E688+E689+E691</f>
        <v>0</v>
      </c>
      <c r="F693" s="204">
        <f>SUM(F686:F691)</f>
        <v>2049.54</v>
      </c>
      <c r="G693" s="263">
        <f>SUM(G686:G691)</f>
        <v>765.95</v>
      </c>
      <c r="H693" s="204"/>
      <c r="I693" s="269">
        <f>SUM(I686:J691)</f>
        <v>0</v>
      </c>
      <c r="J693" s="270"/>
      <c r="K693" s="269">
        <f>SUM(K686:L691)</f>
        <v>0</v>
      </c>
      <c r="L693" s="271"/>
      <c r="M693" s="262"/>
      <c r="N693" s="1"/>
    </row>
    <row r="694" spans="2:14" ht="7.5" customHeight="1" thickTop="1">
      <c r="C694" s="21"/>
      <c r="D694" s="22"/>
      <c r="E694" s="22"/>
      <c r="F694" s="23"/>
      <c r="G694" s="23"/>
      <c r="H694" s="18"/>
      <c r="I694" s="18"/>
      <c r="J694" s="2"/>
      <c r="K694" s="2"/>
      <c r="L694" s="2"/>
      <c r="M694" s="2"/>
      <c r="N694" s="1"/>
    </row>
    <row r="695" spans="2:14">
      <c r="B695" s="19" t="s">
        <v>1183</v>
      </c>
      <c r="N695" s="1"/>
    </row>
    <row r="696" spans="2:14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>
      <c r="B698" s="1"/>
    </row>
    <row r="699" spans="2:14">
      <c r="B699" s="1"/>
    </row>
    <row r="700" spans="2:14">
      <c r="B700" s="1"/>
    </row>
    <row r="704" spans="2:14" ht="8.25" customHeight="1"/>
    <row r="706" spans="3:3">
      <c r="C706" s="257"/>
    </row>
    <row r="707" spans="3:3">
      <c r="C707" s="258"/>
    </row>
    <row r="708" spans="3:3" ht="20.100000000000001" customHeight="1">
      <c r="C708" s="258"/>
    </row>
    <row r="709" spans="3:3" ht="19.5" customHeight="1">
      <c r="C709" s="258"/>
    </row>
    <row r="710" spans="3:3" ht="20.100000000000001" customHeight="1">
      <c r="C710" s="258"/>
    </row>
    <row r="711" spans="3:3" ht="20.100000000000001" customHeight="1">
      <c r="C711" s="258"/>
    </row>
    <row r="712" spans="3:3" ht="20.100000000000001" customHeight="1">
      <c r="C712" s="258"/>
    </row>
    <row r="713" spans="3:3" ht="20.100000000000001" customHeight="1"/>
    <row r="714" spans="3:3" ht="0.75" customHeight="1"/>
    <row r="715" spans="3:3" ht="9" customHeight="1"/>
    <row r="716" spans="3:3" ht="41.25" customHeight="1"/>
    <row r="717" spans="3:3" ht="16.5" customHeight="1"/>
    <row r="718" spans="3:3" ht="20.25" customHeight="1"/>
    <row r="719" spans="3:3" ht="50.1" customHeight="1"/>
    <row r="720" spans="3:3" ht="50.1" customHeight="1"/>
    <row r="721" spans="7:7" ht="50.1" customHeight="1"/>
    <row r="722" spans="7:7" ht="50.1" customHeight="1"/>
    <row r="723" spans="7:7" ht="50.1" customHeight="1"/>
    <row r="724" spans="7:7" ht="50.1" customHeight="1"/>
    <row r="725" spans="7:7" ht="6" customHeight="1"/>
    <row r="726" spans="7:7" ht="50.1" customHeight="1"/>
    <row r="727" spans="7:7" ht="7.5" customHeight="1"/>
    <row r="730" spans="7:7">
      <c r="G730" s="54"/>
    </row>
  </sheetData>
  <mergeCells count="81">
    <mergeCell ref="B669:M669"/>
    <mergeCell ref="B603:C603"/>
    <mergeCell ref="B606:N606"/>
    <mergeCell ref="B643:N643"/>
    <mergeCell ref="B644:B646"/>
    <mergeCell ref="J644:N644"/>
    <mergeCell ref="N645:N646"/>
    <mergeCell ref="B665:C665"/>
    <mergeCell ref="B662:C662"/>
    <mergeCell ref="B663:C663"/>
    <mergeCell ref="B642:N642"/>
    <mergeCell ref="B637:C637"/>
    <mergeCell ref="B638:C638"/>
    <mergeCell ref="I683:L683"/>
    <mergeCell ref="I684:J684"/>
    <mergeCell ref="K684:L684"/>
    <mergeCell ref="M684:M685"/>
    <mergeCell ref="I685:J685"/>
    <mergeCell ref="K685:L685"/>
    <mergeCell ref="B670:M670"/>
    <mergeCell ref="B673:B674"/>
    <mergeCell ref="C673:C674"/>
    <mergeCell ref="D673:D674"/>
    <mergeCell ref="N674:O674"/>
    <mergeCell ref="N673:O673"/>
    <mergeCell ref="N543:N544"/>
    <mergeCell ref="J608:N608"/>
    <mergeCell ref="B608:B610"/>
    <mergeCell ref="N609:N610"/>
    <mergeCell ref="B607:N607"/>
    <mergeCell ref="N235:N236"/>
    <mergeCell ref="B425:N425"/>
    <mergeCell ref="J426:N426"/>
    <mergeCell ref="N427:N428"/>
    <mergeCell ref="B540:N540"/>
    <mergeCell ref="B536:C536"/>
    <mergeCell ref="B426:B428"/>
    <mergeCell ref="B592:C592"/>
    <mergeCell ref="B541:N541"/>
    <mergeCell ref="B542:B544"/>
    <mergeCell ref="J542:N542"/>
    <mergeCell ref="B424:N424"/>
    <mergeCell ref="B316:C316"/>
    <mergeCell ref="B421:C421"/>
    <mergeCell ref="B422:C422"/>
    <mergeCell ref="J234:N234"/>
    <mergeCell ref="J4:N4"/>
    <mergeCell ref="B8:B13"/>
    <mergeCell ref="B44:B46"/>
    <mergeCell ref="B29:B33"/>
    <mergeCell ref="B23:B28"/>
    <mergeCell ref="B20:B22"/>
    <mergeCell ref="B2:N2"/>
    <mergeCell ref="B3:N3"/>
    <mergeCell ref="B4:B6"/>
    <mergeCell ref="B146:C146"/>
    <mergeCell ref="B229:C229"/>
    <mergeCell ref="B232:N232"/>
    <mergeCell ref="B233:N233"/>
    <mergeCell ref="B234:B236"/>
    <mergeCell ref="B14:B19"/>
    <mergeCell ref="N5:N6"/>
    <mergeCell ref="B39:B43"/>
    <mergeCell ref="B34:B38"/>
    <mergeCell ref="F673:F674"/>
    <mergeCell ref="G673:G674"/>
    <mergeCell ref="E673:E674"/>
    <mergeCell ref="I693:J693"/>
    <mergeCell ref="K693:L693"/>
    <mergeCell ref="I689:J689"/>
    <mergeCell ref="K689:L689"/>
    <mergeCell ref="I690:J690"/>
    <mergeCell ref="K690:L690"/>
    <mergeCell ref="I691:J691"/>
    <mergeCell ref="K691:L691"/>
    <mergeCell ref="I686:J686"/>
    <mergeCell ref="K686:L686"/>
    <mergeCell ref="I687:J687"/>
    <mergeCell ref="K687:L687"/>
    <mergeCell ref="I688:J688"/>
    <mergeCell ref="K688:L688"/>
  </mergeCells>
  <printOptions horizontalCentered="1"/>
  <pageMargins left="0.2" right="0" top="0.5" bottom="0.25" header="0.3" footer="0.3"/>
  <pageSetup paperSize="9" scale="7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R16"/>
  <sheetViews>
    <sheetView topLeftCell="A11" workbookViewId="0">
      <selection activeCell="C10" sqref="C10"/>
    </sheetView>
  </sheetViews>
  <sheetFormatPr defaultRowHeight="15"/>
  <cols>
    <col min="2" max="2" width="11.28515625" customWidth="1"/>
    <col min="3" max="3" width="10" customWidth="1"/>
    <col min="4" max="15" width="7.7109375" customWidth="1"/>
    <col min="16" max="16" width="10.85546875" customWidth="1"/>
    <col min="17" max="17" width="10.5703125" customWidth="1"/>
    <col min="18" max="18" width="7.7109375" customWidth="1"/>
  </cols>
  <sheetData>
    <row r="5" spans="2:18" ht="21">
      <c r="B5" s="326" t="s">
        <v>519</v>
      </c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</row>
    <row r="6" spans="2:18" ht="18.75" customHeight="1" thickBot="1"/>
    <row r="7" spans="2:18" ht="22.5" customHeight="1" thickBot="1">
      <c r="B7" s="327" t="s">
        <v>130</v>
      </c>
      <c r="C7" s="113" t="s">
        <v>520</v>
      </c>
      <c r="D7" s="329" t="s">
        <v>131</v>
      </c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30"/>
    </row>
    <row r="8" spans="2:18" ht="22.5" customHeight="1" thickBot="1">
      <c r="B8" s="328"/>
      <c r="C8" s="55" t="s">
        <v>132</v>
      </c>
      <c r="D8" s="56" t="s">
        <v>133</v>
      </c>
      <c r="E8" s="57" t="s">
        <v>134</v>
      </c>
      <c r="F8" s="57" t="s">
        <v>135</v>
      </c>
      <c r="G8" s="57" t="s">
        <v>136</v>
      </c>
      <c r="H8" s="57" t="s">
        <v>137</v>
      </c>
      <c r="I8" s="57" t="s">
        <v>138</v>
      </c>
      <c r="J8" s="57" t="s">
        <v>139</v>
      </c>
      <c r="K8" s="57" t="s">
        <v>140</v>
      </c>
      <c r="L8" s="57" t="s">
        <v>141</v>
      </c>
      <c r="M8" s="57" t="s">
        <v>142</v>
      </c>
      <c r="N8" s="57" t="s">
        <v>143</v>
      </c>
      <c r="O8" s="58" t="s">
        <v>144</v>
      </c>
      <c r="P8" s="59" t="s">
        <v>145</v>
      </c>
      <c r="Q8" s="57" t="s">
        <v>146</v>
      </c>
      <c r="R8" s="60" t="s">
        <v>147</v>
      </c>
    </row>
    <row r="9" spans="2:18" ht="39.950000000000003" customHeight="1">
      <c r="B9" s="61" t="s">
        <v>184</v>
      </c>
      <c r="C9" s="62">
        <v>2000</v>
      </c>
      <c r="D9" s="209">
        <v>142.91</v>
      </c>
      <c r="E9" s="210">
        <v>459.81</v>
      </c>
      <c r="F9" s="210">
        <v>540.4</v>
      </c>
      <c r="G9" s="210">
        <v>477.4</v>
      </c>
      <c r="H9" s="210">
        <v>161.19</v>
      </c>
      <c r="I9" s="210">
        <v>434.05</v>
      </c>
      <c r="J9" s="210">
        <v>732</v>
      </c>
      <c r="K9" s="210">
        <v>500</v>
      </c>
      <c r="L9" s="211"/>
      <c r="M9" s="211"/>
      <c r="N9" s="211"/>
      <c r="O9" s="212"/>
      <c r="P9" s="213">
        <f t="shared" ref="P9:P14" si="0">D9+E9+F9+G9+H9+I9+J9+K9+L9+M9+N9+O9</f>
        <v>3447.76</v>
      </c>
      <c r="Q9" s="214">
        <f t="shared" ref="Q9:Q14" si="1">AVERAGE(D9:K9)</f>
        <v>430.97</v>
      </c>
      <c r="R9" s="215">
        <f t="shared" ref="R9:R14" si="2">Q9/C9*100</f>
        <v>21.548500000000001</v>
      </c>
    </row>
    <row r="10" spans="2:18" ht="39.950000000000003" customHeight="1">
      <c r="B10" s="83" t="s">
        <v>183</v>
      </c>
      <c r="C10" s="84">
        <v>300</v>
      </c>
      <c r="D10" s="216">
        <v>18.8</v>
      </c>
      <c r="E10" s="217">
        <v>84.1</v>
      </c>
      <c r="F10" s="217">
        <v>142</v>
      </c>
      <c r="G10" s="217">
        <v>93</v>
      </c>
      <c r="H10" s="217">
        <v>21.3</v>
      </c>
      <c r="I10" s="217">
        <v>24.9</v>
      </c>
      <c r="J10" s="217">
        <v>19</v>
      </c>
      <c r="K10" s="217">
        <v>25</v>
      </c>
      <c r="L10" s="218"/>
      <c r="M10" s="218"/>
      <c r="N10" s="218"/>
      <c r="O10" s="219"/>
      <c r="P10" s="220">
        <f t="shared" si="0"/>
        <v>428.09999999999997</v>
      </c>
      <c r="Q10" s="221">
        <f t="shared" si="1"/>
        <v>53.512499999999996</v>
      </c>
      <c r="R10" s="222">
        <f t="shared" si="2"/>
        <v>17.837499999999999</v>
      </c>
    </row>
    <row r="11" spans="2:18" ht="39.950000000000003" customHeight="1">
      <c r="B11" s="63" t="s">
        <v>113</v>
      </c>
      <c r="C11" s="64">
        <v>300</v>
      </c>
      <c r="D11" s="220">
        <v>131.91</v>
      </c>
      <c r="E11" s="223">
        <v>180.07</v>
      </c>
      <c r="F11" s="223">
        <v>158.28</v>
      </c>
      <c r="G11" s="223">
        <v>233.46</v>
      </c>
      <c r="H11" s="223">
        <v>198.97</v>
      </c>
      <c r="I11" s="223">
        <v>181.34</v>
      </c>
      <c r="J11" s="223">
        <v>168</v>
      </c>
      <c r="K11" s="223">
        <v>81</v>
      </c>
      <c r="L11" s="224"/>
      <c r="M11" s="224"/>
      <c r="N11" s="224"/>
      <c r="O11" s="225"/>
      <c r="P11" s="220">
        <f t="shared" si="0"/>
        <v>1333.03</v>
      </c>
      <c r="Q11" s="221">
        <f t="shared" si="1"/>
        <v>166.62875</v>
      </c>
      <c r="R11" s="222">
        <f t="shared" si="2"/>
        <v>55.542916666666663</v>
      </c>
    </row>
    <row r="12" spans="2:18" ht="39.950000000000003" customHeight="1">
      <c r="B12" s="63" t="s">
        <v>114</v>
      </c>
      <c r="C12" s="64">
        <v>50</v>
      </c>
      <c r="D12" s="220">
        <v>2.98</v>
      </c>
      <c r="E12" s="223">
        <v>0.05</v>
      </c>
      <c r="F12" s="223">
        <v>6.05</v>
      </c>
      <c r="G12" s="223">
        <v>2.0499999999999998</v>
      </c>
      <c r="H12" s="223">
        <v>0.05</v>
      </c>
      <c r="I12" s="223">
        <v>0.05</v>
      </c>
      <c r="J12" s="223">
        <v>0</v>
      </c>
      <c r="K12" s="223">
        <v>16</v>
      </c>
      <c r="L12" s="224"/>
      <c r="M12" s="224"/>
      <c r="N12" s="224"/>
      <c r="O12" s="225"/>
      <c r="P12" s="220">
        <f t="shared" si="0"/>
        <v>27.23</v>
      </c>
      <c r="Q12" s="221">
        <f t="shared" si="1"/>
        <v>3.4037500000000001</v>
      </c>
      <c r="R12" s="222">
        <f t="shared" si="2"/>
        <v>6.8074999999999992</v>
      </c>
    </row>
    <row r="13" spans="2:18" ht="39.950000000000003" customHeight="1">
      <c r="B13" s="63" t="s">
        <v>127</v>
      </c>
      <c r="C13" s="64">
        <v>300</v>
      </c>
      <c r="D13" s="220">
        <v>124.97</v>
      </c>
      <c r="E13" s="223">
        <v>130.97999999999999</v>
      </c>
      <c r="F13" s="223">
        <v>128.97999999999999</v>
      </c>
      <c r="G13" s="223">
        <v>151.52000000000001</v>
      </c>
      <c r="H13" s="223">
        <v>109.81</v>
      </c>
      <c r="I13" s="223">
        <v>140.49</v>
      </c>
      <c r="J13" s="223">
        <v>255</v>
      </c>
      <c r="K13" s="223">
        <v>145</v>
      </c>
      <c r="L13" s="224"/>
      <c r="M13" s="224"/>
      <c r="N13" s="224"/>
      <c r="O13" s="225"/>
      <c r="P13" s="220">
        <f t="shared" si="0"/>
        <v>1186.75</v>
      </c>
      <c r="Q13" s="221">
        <f t="shared" si="1"/>
        <v>148.34375</v>
      </c>
      <c r="R13" s="222">
        <f t="shared" si="2"/>
        <v>49.447916666666671</v>
      </c>
    </row>
    <row r="14" spans="2:18" ht="39.950000000000003" customHeight="1">
      <c r="B14" s="65" t="s">
        <v>116</v>
      </c>
      <c r="C14" s="66">
        <v>2850</v>
      </c>
      <c r="D14" s="226">
        <v>1952.95</v>
      </c>
      <c r="E14" s="227">
        <v>1614.33</v>
      </c>
      <c r="F14" s="227">
        <v>1546.25</v>
      </c>
      <c r="G14" s="227">
        <v>1414.75</v>
      </c>
      <c r="H14" s="227">
        <v>717.63</v>
      </c>
      <c r="I14" s="227">
        <v>758.76</v>
      </c>
      <c r="J14" s="227">
        <v>1112</v>
      </c>
      <c r="K14" s="227">
        <v>827</v>
      </c>
      <c r="L14" s="228"/>
      <c r="M14" s="228"/>
      <c r="N14" s="228"/>
      <c r="O14" s="229"/>
      <c r="P14" s="220">
        <f t="shared" si="0"/>
        <v>9943.67</v>
      </c>
      <c r="Q14" s="221">
        <f t="shared" si="1"/>
        <v>1242.95875</v>
      </c>
      <c r="R14" s="230">
        <f t="shared" si="2"/>
        <v>43.612587719298247</v>
      </c>
    </row>
    <row r="15" spans="2:18" ht="30" customHeight="1" thickBot="1">
      <c r="B15" s="67" t="s">
        <v>12</v>
      </c>
      <c r="C15" s="68">
        <v>5500</v>
      </c>
      <c r="D15" s="231">
        <f t="shared" ref="D15:K15" si="3">SUM(D9:D14)</f>
        <v>2374.52</v>
      </c>
      <c r="E15" s="231">
        <f t="shared" si="3"/>
        <v>2469.34</v>
      </c>
      <c r="F15" s="231">
        <f t="shared" si="3"/>
        <v>2521.96</v>
      </c>
      <c r="G15" s="231">
        <f t="shared" si="3"/>
        <v>2372.1799999999998</v>
      </c>
      <c r="H15" s="231">
        <f t="shared" si="3"/>
        <v>1208.95</v>
      </c>
      <c r="I15" s="231">
        <f t="shared" si="3"/>
        <v>1539.59</v>
      </c>
      <c r="J15" s="231">
        <f t="shared" si="3"/>
        <v>2286</v>
      </c>
      <c r="K15" s="231">
        <f t="shared" si="3"/>
        <v>1594</v>
      </c>
      <c r="L15" s="232"/>
      <c r="M15" s="232"/>
      <c r="N15" s="232"/>
      <c r="O15" s="233"/>
      <c r="P15" s="231">
        <f>SUM(P9:P14)</f>
        <v>16366.54</v>
      </c>
      <c r="Q15" s="231">
        <f>SUM(Q9:Q14)</f>
        <v>2045.8175000000001</v>
      </c>
      <c r="R15" s="234">
        <f>(R9+R11+R12+R13+R14)/5</f>
        <v>35.391884210526314</v>
      </c>
    </row>
    <row r="16" spans="2:18">
      <c r="B16" s="69" t="s">
        <v>1042</v>
      </c>
    </row>
  </sheetData>
  <mergeCells count="3">
    <mergeCell ref="B5:R5"/>
    <mergeCell ref="B7:B8"/>
    <mergeCell ref="D7:R7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563"/>
  <sheetViews>
    <sheetView topLeftCell="A572" zoomScale="70" zoomScaleNormal="70" workbookViewId="0">
      <selection activeCell="B3" sqref="B3:H3"/>
    </sheetView>
  </sheetViews>
  <sheetFormatPr defaultRowHeight="15"/>
  <cols>
    <col min="1" max="1" width="3.5703125" customWidth="1"/>
    <col min="2" max="2" width="52.140625" customWidth="1"/>
    <col min="3" max="3" width="12" customWidth="1"/>
    <col min="4" max="5" width="12.28515625" customWidth="1"/>
    <col min="6" max="6" width="12.140625" customWidth="1"/>
    <col min="7" max="12" width="11.7109375" customWidth="1"/>
  </cols>
  <sheetData>
    <row r="2" spans="2:14" ht="23.25">
      <c r="B2" s="286" t="s">
        <v>686</v>
      </c>
      <c r="C2" s="286"/>
      <c r="D2" s="286"/>
      <c r="E2" s="286"/>
      <c r="F2" s="286"/>
      <c r="G2" s="286"/>
      <c r="H2" s="286"/>
    </row>
    <row r="3" spans="2:14" ht="21.75" thickBot="1">
      <c r="B3" s="287" t="s">
        <v>1291</v>
      </c>
      <c r="C3" s="287"/>
      <c r="D3" s="287"/>
      <c r="E3" s="287"/>
      <c r="F3" s="287"/>
      <c r="G3" s="287"/>
      <c r="H3" s="287"/>
      <c r="I3" s="264"/>
      <c r="J3" s="264"/>
      <c r="K3" s="264"/>
      <c r="L3" s="264"/>
      <c r="M3" s="264"/>
      <c r="N3" s="264"/>
    </row>
    <row r="4" spans="2:14" ht="23.25" customHeight="1" thickBot="1">
      <c r="B4" s="333" t="s">
        <v>1</v>
      </c>
      <c r="C4" s="25" t="s">
        <v>192</v>
      </c>
      <c r="D4" s="278" t="s">
        <v>517</v>
      </c>
      <c r="E4" s="279"/>
      <c r="F4" s="279"/>
      <c r="G4" s="279"/>
      <c r="H4" s="280"/>
    </row>
    <row r="5" spans="2:14">
      <c r="B5" s="334"/>
      <c r="C5" s="24" t="s">
        <v>193</v>
      </c>
      <c r="D5" s="44" t="s">
        <v>8</v>
      </c>
      <c r="E5" s="45" t="s">
        <v>9</v>
      </c>
      <c r="F5" s="45" t="s">
        <v>10</v>
      </c>
      <c r="G5" s="46" t="s">
        <v>11</v>
      </c>
      <c r="H5" s="297" t="s">
        <v>12</v>
      </c>
    </row>
    <row r="6" spans="2:14" ht="15.75" thickBot="1">
      <c r="B6" s="335"/>
      <c r="C6" s="9"/>
      <c r="D6" s="12" t="s">
        <v>13</v>
      </c>
      <c r="E6" s="13" t="s">
        <v>13</v>
      </c>
      <c r="F6" s="13" t="s">
        <v>13</v>
      </c>
      <c r="G6" s="14" t="s">
        <v>13</v>
      </c>
      <c r="H6" s="298"/>
    </row>
    <row r="7" spans="2:14" ht="15.75">
      <c r="B7" s="35" t="s">
        <v>14</v>
      </c>
      <c r="C7" s="35"/>
      <c r="D7" s="35"/>
      <c r="E7" s="116"/>
      <c r="F7" s="35"/>
      <c r="G7" s="35"/>
      <c r="H7" s="35"/>
    </row>
    <row r="8" spans="2:14" ht="20.100000000000001" customHeight="1">
      <c r="B8" s="331" t="s">
        <v>195</v>
      </c>
      <c r="C8" s="117" t="s">
        <v>188</v>
      </c>
      <c r="D8" s="118">
        <v>0</v>
      </c>
      <c r="E8" s="118">
        <v>0</v>
      </c>
      <c r="F8" s="118">
        <v>0</v>
      </c>
      <c r="G8" s="118">
        <v>0</v>
      </c>
      <c r="H8" s="119">
        <f t="shared" ref="H8:H107" si="0">G8+F8+E8+D8</f>
        <v>0</v>
      </c>
    </row>
    <row r="9" spans="2:14" ht="20.100000000000001" customHeight="1">
      <c r="B9" s="332"/>
      <c r="C9" s="120" t="s">
        <v>189</v>
      </c>
      <c r="D9" s="121">
        <v>0</v>
      </c>
      <c r="E9" s="121">
        <v>0</v>
      </c>
      <c r="F9" s="121">
        <v>0</v>
      </c>
      <c r="G9" s="121">
        <v>0</v>
      </c>
      <c r="H9" s="122">
        <f t="shared" si="0"/>
        <v>0</v>
      </c>
    </row>
    <row r="10" spans="2:14" ht="20.100000000000001" customHeight="1">
      <c r="B10" s="332"/>
      <c r="C10" s="120" t="s">
        <v>190</v>
      </c>
      <c r="D10" s="121">
        <v>0</v>
      </c>
      <c r="E10" s="121">
        <v>0</v>
      </c>
      <c r="F10" s="121">
        <v>0</v>
      </c>
      <c r="G10" s="121">
        <v>0</v>
      </c>
      <c r="H10" s="122">
        <f t="shared" si="0"/>
        <v>0</v>
      </c>
    </row>
    <row r="11" spans="2:14" ht="20.100000000000001" customHeight="1">
      <c r="B11" s="332"/>
      <c r="C11" s="181" t="s">
        <v>191</v>
      </c>
      <c r="D11" s="182">
        <v>0</v>
      </c>
      <c r="E11" s="182">
        <v>0</v>
      </c>
      <c r="F11" s="182">
        <v>0</v>
      </c>
      <c r="G11" s="182">
        <v>0</v>
      </c>
      <c r="H11" s="183">
        <f t="shared" ref="H11" si="1">G11+F11+E11+D11</f>
        <v>0</v>
      </c>
    </row>
    <row r="12" spans="2:14" ht="20.100000000000001" customHeight="1">
      <c r="B12" s="332"/>
      <c r="C12" s="181" t="s">
        <v>1045</v>
      </c>
      <c r="D12" s="182">
        <v>0</v>
      </c>
      <c r="E12" s="182">
        <v>0</v>
      </c>
      <c r="F12" s="182">
        <v>0</v>
      </c>
      <c r="G12" s="182">
        <v>0</v>
      </c>
      <c r="H12" s="183">
        <f t="shared" ref="H12" si="2">G12+F12+E12+D12</f>
        <v>0</v>
      </c>
    </row>
    <row r="13" spans="2:14" ht="20.100000000000001" customHeight="1">
      <c r="B13" s="332"/>
      <c r="C13" s="181" t="s">
        <v>840</v>
      </c>
      <c r="D13" s="182">
        <v>0</v>
      </c>
      <c r="E13" s="182">
        <v>0</v>
      </c>
      <c r="F13" s="182">
        <v>0</v>
      </c>
      <c r="G13" s="182">
        <v>0</v>
      </c>
      <c r="H13" s="183">
        <f t="shared" si="0"/>
        <v>0</v>
      </c>
    </row>
    <row r="14" spans="2:14" ht="20.100000000000001" customHeight="1">
      <c r="B14" s="338" t="s">
        <v>841</v>
      </c>
      <c r="C14" s="120" t="s">
        <v>842</v>
      </c>
      <c r="D14" s="121">
        <v>0</v>
      </c>
      <c r="E14" s="121">
        <v>0</v>
      </c>
      <c r="F14" s="121">
        <v>0</v>
      </c>
      <c r="G14" s="121">
        <v>0</v>
      </c>
      <c r="H14" s="122">
        <f t="shared" ref="H14:H17" si="3">G14+F14+E14+D14</f>
        <v>0</v>
      </c>
    </row>
    <row r="15" spans="2:14" ht="20.100000000000001" customHeight="1">
      <c r="B15" s="338"/>
      <c r="C15" s="120" t="s">
        <v>843</v>
      </c>
      <c r="D15" s="121">
        <v>0</v>
      </c>
      <c r="E15" s="121">
        <v>0</v>
      </c>
      <c r="F15" s="121">
        <v>0</v>
      </c>
      <c r="G15" s="121">
        <v>0</v>
      </c>
      <c r="H15" s="122">
        <f t="shared" si="3"/>
        <v>0</v>
      </c>
    </row>
    <row r="16" spans="2:14" ht="20.100000000000001" customHeight="1">
      <c r="B16" s="338"/>
      <c r="C16" s="120" t="s">
        <v>844</v>
      </c>
      <c r="D16" s="121">
        <v>0</v>
      </c>
      <c r="E16" s="121">
        <v>0</v>
      </c>
      <c r="F16" s="121">
        <v>0</v>
      </c>
      <c r="G16" s="121">
        <v>0</v>
      </c>
      <c r="H16" s="122">
        <f t="shared" si="3"/>
        <v>0</v>
      </c>
    </row>
    <row r="17" spans="2:8" ht="20.100000000000001" customHeight="1">
      <c r="B17" s="338"/>
      <c r="C17" s="120" t="s">
        <v>845</v>
      </c>
      <c r="D17" s="121">
        <v>0</v>
      </c>
      <c r="E17" s="121">
        <v>0</v>
      </c>
      <c r="F17" s="121">
        <v>0</v>
      </c>
      <c r="G17" s="121">
        <v>0</v>
      </c>
      <c r="H17" s="122">
        <f t="shared" si="3"/>
        <v>0</v>
      </c>
    </row>
    <row r="18" spans="2:8" ht="20.100000000000001" customHeight="1">
      <c r="B18" s="177"/>
      <c r="C18" s="120"/>
      <c r="D18" s="121"/>
      <c r="E18" s="121"/>
      <c r="F18" s="121"/>
      <c r="G18" s="121"/>
      <c r="H18" s="122"/>
    </row>
    <row r="19" spans="2:8" ht="20.100000000000001" customHeight="1">
      <c r="B19" s="336" t="s">
        <v>196</v>
      </c>
      <c r="C19" s="120" t="s">
        <v>324</v>
      </c>
      <c r="D19" s="121">
        <v>0</v>
      </c>
      <c r="E19" s="121">
        <v>0</v>
      </c>
      <c r="F19" s="121">
        <v>0</v>
      </c>
      <c r="G19" s="121">
        <v>0</v>
      </c>
      <c r="H19" s="122">
        <f t="shared" si="0"/>
        <v>0</v>
      </c>
    </row>
    <row r="20" spans="2:8" ht="20.100000000000001" customHeight="1">
      <c r="B20" s="332"/>
      <c r="C20" s="120" t="s">
        <v>194</v>
      </c>
      <c r="D20" s="121">
        <v>0</v>
      </c>
      <c r="E20" s="121">
        <v>0</v>
      </c>
      <c r="F20" s="121">
        <v>0</v>
      </c>
      <c r="G20" s="121">
        <v>0</v>
      </c>
      <c r="H20" s="122">
        <f t="shared" si="0"/>
        <v>0</v>
      </c>
    </row>
    <row r="21" spans="2:8" ht="20.100000000000001" customHeight="1">
      <c r="B21" s="337"/>
      <c r="C21" s="120" t="s">
        <v>542</v>
      </c>
      <c r="D21" s="121">
        <v>0</v>
      </c>
      <c r="E21" s="121">
        <v>0</v>
      </c>
      <c r="F21" s="121">
        <v>0</v>
      </c>
      <c r="G21" s="121">
        <v>0</v>
      </c>
      <c r="H21" s="122">
        <f t="shared" si="0"/>
        <v>0</v>
      </c>
    </row>
    <row r="22" spans="2:8" ht="20.100000000000001" customHeight="1">
      <c r="B22" s="336" t="s">
        <v>197</v>
      </c>
      <c r="C22" s="120" t="s">
        <v>198</v>
      </c>
      <c r="D22" s="121">
        <v>0</v>
      </c>
      <c r="E22" s="121">
        <v>0</v>
      </c>
      <c r="F22" s="121">
        <v>0</v>
      </c>
      <c r="G22" s="121">
        <v>0</v>
      </c>
      <c r="H22" s="122">
        <f t="shared" si="0"/>
        <v>0</v>
      </c>
    </row>
    <row r="23" spans="2:8" ht="20.100000000000001" customHeight="1">
      <c r="B23" s="332"/>
      <c r="C23" s="120" t="s">
        <v>199</v>
      </c>
      <c r="D23" s="121">
        <v>0</v>
      </c>
      <c r="E23" s="121">
        <v>0</v>
      </c>
      <c r="F23" s="121">
        <v>0</v>
      </c>
      <c r="G23" s="121">
        <v>0</v>
      </c>
      <c r="H23" s="122">
        <f t="shared" si="0"/>
        <v>0</v>
      </c>
    </row>
    <row r="24" spans="2:8" ht="20.100000000000001" customHeight="1">
      <c r="B24" s="332"/>
      <c r="C24" s="120" t="s">
        <v>328</v>
      </c>
      <c r="D24" s="121">
        <v>0</v>
      </c>
      <c r="E24" s="121">
        <v>0</v>
      </c>
      <c r="F24" s="121">
        <v>0</v>
      </c>
      <c r="G24" s="121">
        <v>0</v>
      </c>
      <c r="H24" s="122">
        <f t="shared" si="0"/>
        <v>0</v>
      </c>
    </row>
    <row r="25" spans="2:8" ht="20.100000000000001" customHeight="1">
      <c r="B25" s="332"/>
      <c r="C25" s="120" t="s">
        <v>200</v>
      </c>
      <c r="D25" s="121">
        <v>0</v>
      </c>
      <c r="E25" s="121">
        <v>0</v>
      </c>
      <c r="F25" s="121">
        <v>0</v>
      </c>
      <c r="G25" s="121">
        <v>0</v>
      </c>
      <c r="H25" s="122">
        <f t="shared" si="0"/>
        <v>0</v>
      </c>
    </row>
    <row r="26" spans="2:8" ht="20.100000000000001" customHeight="1">
      <c r="B26" s="332"/>
      <c r="C26" s="120" t="s">
        <v>1046</v>
      </c>
      <c r="D26" s="121">
        <v>0</v>
      </c>
      <c r="E26" s="121">
        <v>0</v>
      </c>
      <c r="F26" s="121">
        <v>0</v>
      </c>
      <c r="G26" s="121">
        <v>0</v>
      </c>
      <c r="H26" s="122">
        <f t="shared" ref="H26" si="4">G26+F26+E26+D26</f>
        <v>0</v>
      </c>
    </row>
    <row r="27" spans="2:8" ht="20.100000000000001" customHeight="1">
      <c r="B27" s="337"/>
      <c r="C27" s="120" t="s">
        <v>201</v>
      </c>
      <c r="D27" s="121">
        <v>0</v>
      </c>
      <c r="E27" s="121">
        <v>0</v>
      </c>
      <c r="F27" s="121">
        <v>0</v>
      </c>
      <c r="G27" s="121">
        <v>0</v>
      </c>
      <c r="H27" s="122">
        <f t="shared" si="0"/>
        <v>0</v>
      </c>
    </row>
    <row r="28" spans="2:8" ht="20.100000000000001" customHeight="1">
      <c r="B28" s="120" t="s">
        <v>202</v>
      </c>
      <c r="C28" s="120" t="s">
        <v>203</v>
      </c>
      <c r="D28" s="121">
        <v>0</v>
      </c>
      <c r="E28" s="121">
        <v>0</v>
      </c>
      <c r="F28" s="121">
        <v>0</v>
      </c>
      <c r="G28" s="121">
        <v>0</v>
      </c>
      <c r="H28" s="122">
        <f t="shared" ref="H28" si="5">G28+F28+E28+D28</f>
        <v>0</v>
      </c>
    </row>
    <row r="29" spans="2:8" ht="20.100000000000001" customHeight="1">
      <c r="B29" s="120" t="s">
        <v>202</v>
      </c>
      <c r="C29" s="120" t="s">
        <v>886</v>
      </c>
      <c r="D29" s="121">
        <v>0</v>
      </c>
      <c r="E29" s="121">
        <v>0</v>
      </c>
      <c r="F29" s="121">
        <v>0</v>
      </c>
      <c r="G29" s="121">
        <v>0</v>
      </c>
      <c r="H29" s="122">
        <f t="shared" ref="H29" si="6">G29+F29+E29+D29</f>
        <v>0</v>
      </c>
    </row>
    <row r="30" spans="2:8" ht="20.100000000000001" customHeight="1">
      <c r="B30" s="120" t="s">
        <v>202</v>
      </c>
      <c r="C30" s="120" t="s">
        <v>887</v>
      </c>
      <c r="D30" s="121">
        <v>0</v>
      </c>
      <c r="E30" s="121">
        <v>0</v>
      </c>
      <c r="F30" s="121">
        <v>0</v>
      </c>
      <c r="G30" s="121">
        <v>0</v>
      </c>
      <c r="H30" s="122">
        <f t="shared" si="0"/>
        <v>0</v>
      </c>
    </row>
    <row r="31" spans="2:8" ht="20.100000000000001" customHeight="1">
      <c r="B31" s="120" t="s">
        <v>326</v>
      </c>
      <c r="C31" s="120" t="s">
        <v>325</v>
      </c>
      <c r="D31" s="121">
        <v>0</v>
      </c>
      <c r="E31" s="121">
        <v>0</v>
      </c>
      <c r="F31" s="121">
        <v>0</v>
      </c>
      <c r="G31" s="121">
        <v>0</v>
      </c>
      <c r="H31" s="122">
        <f t="shared" si="0"/>
        <v>0</v>
      </c>
    </row>
    <row r="32" spans="2:8" ht="20.100000000000001" customHeight="1">
      <c r="B32" s="120" t="s">
        <v>326</v>
      </c>
      <c r="C32" s="120" t="s">
        <v>543</v>
      </c>
      <c r="D32" s="121">
        <v>0</v>
      </c>
      <c r="E32" s="121">
        <v>0</v>
      </c>
      <c r="F32" s="121">
        <v>0</v>
      </c>
      <c r="G32" s="121">
        <v>0</v>
      </c>
      <c r="H32" s="122">
        <f t="shared" si="0"/>
        <v>0</v>
      </c>
    </row>
    <row r="33" spans="2:8" ht="20.100000000000001" customHeight="1">
      <c r="B33" s="120" t="s">
        <v>326</v>
      </c>
      <c r="C33" s="120" t="s">
        <v>848</v>
      </c>
      <c r="D33" s="121">
        <v>0</v>
      </c>
      <c r="E33" s="121">
        <v>0</v>
      </c>
      <c r="F33" s="121">
        <v>0</v>
      </c>
      <c r="G33" s="121">
        <v>0</v>
      </c>
      <c r="H33" s="122">
        <f t="shared" ref="H33" si="7">G33+F33+E33+D33</f>
        <v>0</v>
      </c>
    </row>
    <row r="34" spans="2:8" ht="20.100000000000001" customHeight="1">
      <c r="B34" s="120" t="s">
        <v>326</v>
      </c>
      <c r="C34" s="120" t="s">
        <v>847</v>
      </c>
      <c r="D34" s="121">
        <v>0</v>
      </c>
      <c r="E34" s="121">
        <v>0</v>
      </c>
      <c r="F34" s="121">
        <v>0</v>
      </c>
      <c r="G34" s="121">
        <v>0</v>
      </c>
      <c r="H34" s="122">
        <f t="shared" si="0"/>
        <v>0</v>
      </c>
    </row>
    <row r="35" spans="2:8" ht="20.100000000000001" customHeight="1">
      <c r="B35" s="120" t="s">
        <v>330</v>
      </c>
      <c r="C35" s="120" t="s">
        <v>331</v>
      </c>
      <c r="D35" s="121">
        <v>0</v>
      </c>
      <c r="E35" s="121">
        <v>0</v>
      </c>
      <c r="F35" s="121">
        <v>0</v>
      </c>
      <c r="G35" s="121">
        <v>0</v>
      </c>
      <c r="H35" s="122">
        <f t="shared" si="0"/>
        <v>0</v>
      </c>
    </row>
    <row r="36" spans="2:8" ht="20.100000000000001" customHeight="1">
      <c r="B36" s="120" t="s">
        <v>330</v>
      </c>
      <c r="C36" s="120" t="s">
        <v>825</v>
      </c>
      <c r="D36" s="121">
        <v>0</v>
      </c>
      <c r="E36" s="121">
        <v>0</v>
      </c>
      <c r="F36" s="121">
        <v>0</v>
      </c>
      <c r="G36" s="121">
        <v>0</v>
      </c>
      <c r="H36" s="122">
        <f t="shared" ref="H36" si="8">G36+F36+E36+D36</f>
        <v>0</v>
      </c>
    </row>
    <row r="37" spans="2:8" ht="20.100000000000001" customHeight="1">
      <c r="B37" s="120" t="s">
        <v>330</v>
      </c>
      <c r="C37" s="120" t="s">
        <v>685</v>
      </c>
      <c r="D37" s="121">
        <v>0</v>
      </c>
      <c r="E37" s="121">
        <v>0</v>
      </c>
      <c r="F37" s="121">
        <v>0</v>
      </c>
      <c r="G37" s="121">
        <v>0</v>
      </c>
      <c r="H37" s="122">
        <f t="shared" si="0"/>
        <v>0</v>
      </c>
    </row>
    <row r="38" spans="2:8" ht="20.100000000000001" customHeight="1">
      <c r="B38" s="120" t="s">
        <v>332</v>
      </c>
      <c r="C38" s="120" t="s">
        <v>333</v>
      </c>
      <c r="D38" s="121">
        <v>0</v>
      </c>
      <c r="E38" s="121">
        <v>0</v>
      </c>
      <c r="F38" s="121">
        <v>0</v>
      </c>
      <c r="G38" s="121">
        <v>0</v>
      </c>
      <c r="H38" s="122">
        <f t="shared" si="0"/>
        <v>0</v>
      </c>
    </row>
    <row r="39" spans="2:8" ht="20.100000000000001" customHeight="1">
      <c r="B39" s="120" t="s">
        <v>334</v>
      </c>
      <c r="C39" s="120" t="s">
        <v>335</v>
      </c>
      <c r="D39" s="121">
        <v>0</v>
      </c>
      <c r="E39" s="121">
        <v>0</v>
      </c>
      <c r="F39" s="121">
        <v>0</v>
      </c>
      <c r="G39" s="121">
        <v>0</v>
      </c>
      <c r="H39" s="122">
        <f t="shared" si="0"/>
        <v>0</v>
      </c>
    </row>
    <row r="40" spans="2:8" ht="20.100000000000001" customHeight="1">
      <c r="B40" s="120" t="s">
        <v>336</v>
      </c>
      <c r="C40" s="120" t="s">
        <v>1047</v>
      </c>
      <c r="D40" s="121">
        <v>0</v>
      </c>
      <c r="E40" s="121">
        <v>0</v>
      </c>
      <c r="F40" s="121">
        <v>0</v>
      </c>
      <c r="G40" s="121">
        <v>0</v>
      </c>
      <c r="H40" s="122">
        <f t="shared" si="0"/>
        <v>0</v>
      </c>
    </row>
    <row r="41" spans="2:8" ht="20.100000000000001" customHeight="1">
      <c r="B41" s="120" t="s">
        <v>204</v>
      </c>
      <c r="C41" s="120" t="s">
        <v>338</v>
      </c>
      <c r="D41" s="121">
        <v>0</v>
      </c>
      <c r="E41" s="121">
        <v>0</v>
      </c>
      <c r="F41" s="121">
        <v>0</v>
      </c>
      <c r="G41" s="121">
        <v>0</v>
      </c>
      <c r="H41" s="122">
        <f t="shared" si="0"/>
        <v>0</v>
      </c>
    </row>
    <row r="42" spans="2:8" ht="20.100000000000001" customHeight="1">
      <c r="B42" s="120" t="s">
        <v>204</v>
      </c>
      <c r="C42" s="120" t="s">
        <v>205</v>
      </c>
      <c r="D42" s="121">
        <v>0</v>
      </c>
      <c r="E42" s="121">
        <v>0</v>
      </c>
      <c r="F42" s="121">
        <v>0</v>
      </c>
      <c r="G42" s="121">
        <v>0</v>
      </c>
      <c r="H42" s="122">
        <f t="shared" si="0"/>
        <v>0</v>
      </c>
    </row>
    <row r="43" spans="2:8" ht="20.100000000000001" customHeight="1">
      <c r="B43" s="120" t="s">
        <v>339</v>
      </c>
      <c r="C43" s="120" t="s">
        <v>340</v>
      </c>
      <c r="D43" s="121">
        <v>0</v>
      </c>
      <c r="E43" s="121">
        <v>0</v>
      </c>
      <c r="F43" s="121">
        <v>0</v>
      </c>
      <c r="G43" s="121">
        <v>0</v>
      </c>
      <c r="H43" s="122">
        <f t="shared" si="0"/>
        <v>0</v>
      </c>
    </row>
    <row r="44" spans="2:8" ht="20.100000000000001" customHeight="1">
      <c r="B44" s="120" t="s">
        <v>339</v>
      </c>
      <c r="C44" s="120" t="s">
        <v>917</v>
      </c>
      <c r="D44" s="121">
        <v>0</v>
      </c>
      <c r="E44" s="121">
        <v>0</v>
      </c>
      <c r="F44" s="121">
        <v>0</v>
      </c>
      <c r="G44" s="121">
        <v>0</v>
      </c>
      <c r="H44" s="122">
        <f t="shared" ref="H44" si="9">G44+F44+E44+D44</f>
        <v>0</v>
      </c>
    </row>
    <row r="45" spans="2:8" ht="20.100000000000001" customHeight="1">
      <c r="B45" s="120" t="s">
        <v>544</v>
      </c>
      <c r="C45" s="120" t="s">
        <v>545</v>
      </c>
      <c r="D45" s="121">
        <v>0</v>
      </c>
      <c r="E45" s="121">
        <v>0</v>
      </c>
      <c r="F45" s="121">
        <v>0</v>
      </c>
      <c r="G45" s="121">
        <v>0</v>
      </c>
      <c r="H45" s="122">
        <f t="shared" si="0"/>
        <v>0</v>
      </c>
    </row>
    <row r="46" spans="2:8" ht="20.100000000000001" customHeight="1">
      <c r="B46" s="120" t="s">
        <v>546</v>
      </c>
      <c r="C46" s="120" t="s">
        <v>547</v>
      </c>
      <c r="D46" s="121">
        <v>0</v>
      </c>
      <c r="E46" s="121">
        <v>0</v>
      </c>
      <c r="F46" s="121">
        <v>0</v>
      </c>
      <c r="G46" s="121">
        <v>0</v>
      </c>
      <c r="H46" s="122">
        <f t="shared" si="0"/>
        <v>0</v>
      </c>
    </row>
    <row r="47" spans="2:8" ht="20.100000000000001" customHeight="1">
      <c r="B47" s="120" t="s">
        <v>546</v>
      </c>
      <c r="C47" s="120" t="s">
        <v>548</v>
      </c>
      <c r="D47" s="121">
        <v>0</v>
      </c>
      <c r="E47" s="121">
        <v>0</v>
      </c>
      <c r="F47" s="121">
        <v>0</v>
      </c>
      <c r="G47" s="121">
        <v>0</v>
      </c>
      <c r="H47" s="122">
        <f t="shared" si="0"/>
        <v>0</v>
      </c>
    </row>
    <row r="48" spans="2:8" ht="20.100000000000001" customHeight="1">
      <c r="B48" s="120" t="s">
        <v>206</v>
      </c>
      <c r="C48" s="120" t="s">
        <v>207</v>
      </c>
      <c r="D48" s="121">
        <v>0</v>
      </c>
      <c r="E48" s="121">
        <v>0</v>
      </c>
      <c r="F48" s="121">
        <v>0</v>
      </c>
      <c r="G48" s="121">
        <v>0</v>
      </c>
      <c r="H48" s="122">
        <f t="shared" si="0"/>
        <v>0</v>
      </c>
    </row>
    <row r="49" spans="2:8" ht="20.100000000000001" customHeight="1">
      <c r="B49" s="120" t="s">
        <v>206</v>
      </c>
      <c r="C49" s="120" t="s">
        <v>549</v>
      </c>
      <c r="D49" s="121">
        <v>0</v>
      </c>
      <c r="E49" s="121">
        <v>0</v>
      </c>
      <c r="F49" s="121">
        <v>0</v>
      </c>
      <c r="G49" s="121">
        <v>0</v>
      </c>
      <c r="H49" s="122">
        <f t="shared" si="0"/>
        <v>0</v>
      </c>
    </row>
    <row r="50" spans="2:8" ht="20.100000000000001" customHeight="1">
      <c r="B50" s="120" t="s">
        <v>208</v>
      </c>
      <c r="C50" s="120" t="s">
        <v>209</v>
      </c>
      <c r="D50" s="121">
        <v>0</v>
      </c>
      <c r="E50" s="121">
        <v>0</v>
      </c>
      <c r="F50" s="121">
        <v>0</v>
      </c>
      <c r="G50" s="121">
        <v>0</v>
      </c>
      <c r="H50" s="122">
        <f t="shared" si="0"/>
        <v>0</v>
      </c>
    </row>
    <row r="51" spans="2:8" ht="20.100000000000001" customHeight="1">
      <c r="B51" s="120" t="s">
        <v>208</v>
      </c>
      <c r="C51" s="120" t="s">
        <v>341</v>
      </c>
      <c r="D51" s="121">
        <v>0</v>
      </c>
      <c r="E51" s="121">
        <v>0</v>
      </c>
      <c r="F51" s="121">
        <v>0</v>
      </c>
      <c r="G51" s="121">
        <v>0</v>
      </c>
      <c r="H51" s="122">
        <f t="shared" si="0"/>
        <v>0</v>
      </c>
    </row>
    <row r="52" spans="2:8" ht="20.100000000000001" customHeight="1">
      <c r="B52" s="120" t="s">
        <v>888</v>
      </c>
      <c r="C52" s="120" t="s">
        <v>889</v>
      </c>
      <c r="D52" s="121">
        <v>0</v>
      </c>
      <c r="E52" s="121">
        <v>0</v>
      </c>
      <c r="F52" s="121">
        <v>0</v>
      </c>
      <c r="G52" s="121">
        <v>0</v>
      </c>
      <c r="H52" s="122">
        <f t="shared" ref="H52" si="10">G52+F52+E52+D52</f>
        <v>0</v>
      </c>
    </row>
    <row r="53" spans="2:8" ht="20.100000000000001" customHeight="1">
      <c r="B53" s="120" t="s">
        <v>391</v>
      </c>
      <c r="C53" s="120" t="s">
        <v>393</v>
      </c>
      <c r="D53" s="121">
        <v>0</v>
      </c>
      <c r="E53" s="121">
        <v>0</v>
      </c>
      <c r="F53" s="121">
        <v>0</v>
      </c>
      <c r="G53" s="121">
        <v>0</v>
      </c>
      <c r="H53" s="122">
        <f t="shared" si="0"/>
        <v>0</v>
      </c>
    </row>
    <row r="54" spans="2:8" ht="20.100000000000001" customHeight="1">
      <c r="B54" s="120" t="s">
        <v>1063</v>
      </c>
      <c r="C54" s="120" t="s">
        <v>1064</v>
      </c>
      <c r="D54" s="121">
        <v>0</v>
      </c>
      <c r="E54" s="121">
        <v>0</v>
      </c>
      <c r="F54" s="121">
        <v>0</v>
      </c>
      <c r="G54" s="121">
        <v>0</v>
      </c>
      <c r="H54" s="122">
        <f t="shared" ref="H54" si="11">G54+F54+E54+D54</f>
        <v>0</v>
      </c>
    </row>
    <row r="55" spans="2:8" ht="20.100000000000001" customHeight="1">
      <c r="B55" s="120" t="s">
        <v>603</v>
      </c>
      <c r="C55" s="120" t="s">
        <v>604</v>
      </c>
      <c r="D55" s="121">
        <v>0</v>
      </c>
      <c r="E55" s="121">
        <v>0</v>
      </c>
      <c r="F55" s="121">
        <v>0</v>
      </c>
      <c r="G55" s="121">
        <v>0</v>
      </c>
      <c r="H55" s="122">
        <f t="shared" si="0"/>
        <v>0</v>
      </c>
    </row>
    <row r="56" spans="2:8" ht="20.100000000000001" customHeight="1">
      <c r="B56" s="120" t="s">
        <v>392</v>
      </c>
      <c r="C56" s="120" t="s">
        <v>394</v>
      </c>
      <c r="D56" s="121">
        <v>0</v>
      </c>
      <c r="E56" s="121">
        <v>0</v>
      </c>
      <c r="F56" s="121">
        <v>0</v>
      </c>
      <c r="G56" s="121">
        <v>0</v>
      </c>
      <c r="H56" s="122">
        <f t="shared" si="0"/>
        <v>0</v>
      </c>
    </row>
    <row r="57" spans="2:8" ht="20.100000000000001" customHeight="1">
      <c r="B57" s="120" t="s">
        <v>860</v>
      </c>
      <c r="C57" s="120" t="s">
        <v>861</v>
      </c>
      <c r="D57" s="121">
        <v>0</v>
      </c>
      <c r="E57" s="121">
        <v>0</v>
      </c>
      <c r="F57" s="121">
        <v>0</v>
      </c>
      <c r="G57" s="121">
        <v>0</v>
      </c>
      <c r="H57" s="122">
        <f t="shared" ref="H57" si="12">G57+F57+E57+D57</f>
        <v>0</v>
      </c>
    </row>
    <row r="58" spans="2:8" ht="20.100000000000001" customHeight="1">
      <c r="B58" s="120" t="s">
        <v>1003</v>
      </c>
      <c r="C58" s="120" t="s">
        <v>1004</v>
      </c>
      <c r="D58" s="121">
        <v>0</v>
      </c>
      <c r="E58" s="121">
        <v>0</v>
      </c>
      <c r="F58" s="121">
        <v>0</v>
      </c>
      <c r="G58" s="121">
        <v>0</v>
      </c>
      <c r="H58" s="122">
        <f t="shared" ref="H58" si="13">G58+F58+E58+D58</f>
        <v>0</v>
      </c>
    </row>
    <row r="59" spans="2:8" ht="20.100000000000001" customHeight="1">
      <c r="B59" s="120" t="s">
        <v>395</v>
      </c>
      <c r="C59" s="120" t="s">
        <v>396</v>
      </c>
      <c r="D59" s="121">
        <v>0</v>
      </c>
      <c r="E59" s="121">
        <v>0</v>
      </c>
      <c r="F59" s="121">
        <v>0</v>
      </c>
      <c r="G59" s="121">
        <v>0</v>
      </c>
      <c r="H59" s="122">
        <f t="shared" si="0"/>
        <v>0</v>
      </c>
    </row>
    <row r="60" spans="2:8" ht="20.100000000000001" customHeight="1">
      <c r="B60" s="120" t="s">
        <v>397</v>
      </c>
      <c r="C60" s="120" t="s">
        <v>398</v>
      </c>
      <c r="D60" s="121">
        <v>0</v>
      </c>
      <c r="E60" s="121">
        <v>0</v>
      </c>
      <c r="F60" s="121">
        <v>0</v>
      </c>
      <c r="G60" s="121">
        <v>0</v>
      </c>
      <c r="H60" s="122">
        <f t="shared" si="0"/>
        <v>0</v>
      </c>
    </row>
    <row r="61" spans="2:8" ht="20.100000000000001" customHeight="1">
      <c r="B61" s="120" t="s">
        <v>255</v>
      </c>
      <c r="C61" s="120" t="s">
        <v>814</v>
      </c>
      <c r="D61" s="121">
        <v>0</v>
      </c>
      <c r="E61" s="121">
        <v>0</v>
      </c>
      <c r="F61" s="121">
        <v>0</v>
      </c>
      <c r="G61" s="121">
        <v>0</v>
      </c>
      <c r="H61" s="122">
        <f t="shared" si="0"/>
        <v>0</v>
      </c>
    </row>
    <row r="62" spans="2:8" ht="20.100000000000001" customHeight="1">
      <c r="B62" s="120" t="s">
        <v>254</v>
      </c>
      <c r="C62" s="120" t="s">
        <v>400</v>
      </c>
      <c r="D62" s="121">
        <v>0</v>
      </c>
      <c r="E62" s="121">
        <v>0</v>
      </c>
      <c r="F62" s="121">
        <v>0</v>
      </c>
      <c r="G62" s="121">
        <v>0</v>
      </c>
      <c r="H62" s="122">
        <f t="shared" si="0"/>
        <v>0</v>
      </c>
    </row>
    <row r="63" spans="2:8" ht="20.100000000000001" customHeight="1">
      <c r="B63" s="120" t="s">
        <v>399</v>
      </c>
      <c r="C63" s="120" t="s">
        <v>862</v>
      </c>
      <c r="D63" s="121">
        <v>0</v>
      </c>
      <c r="E63" s="121">
        <v>0</v>
      </c>
      <c r="F63" s="121">
        <v>0</v>
      </c>
      <c r="G63" s="121">
        <v>0</v>
      </c>
      <c r="H63" s="122">
        <f t="shared" si="0"/>
        <v>0</v>
      </c>
    </row>
    <row r="64" spans="2:8" ht="20.100000000000001" customHeight="1">
      <c r="B64" s="120" t="s">
        <v>402</v>
      </c>
      <c r="C64" s="120" t="s">
        <v>256</v>
      </c>
      <c r="D64" s="121">
        <v>0</v>
      </c>
      <c r="E64" s="121">
        <v>0</v>
      </c>
      <c r="F64" s="121">
        <v>0</v>
      </c>
      <c r="G64" s="121">
        <v>0</v>
      </c>
      <c r="H64" s="122">
        <f t="shared" si="0"/>
        <v>0</v>
      </c>
    </row>
    <row r="65" spans="2:8" ht="20.100000000000001" customHeight="1">
      <c r="B65" s="120" t="s">
        <v>403</v>
      </c>
      <c r="C65" s="120" t="s">
        <v>401</v>
      </c>
      <c r="D65" s="121">
        <v>0</v>
      </c>
      <c r="E65" s="121">
        <v>0</v>
      </c>
      <c r="F65" s="121">
        <v>0</v>
      </c>
      <c r="G65" s="121">
        <v>0</v>
      </c>
      <c r="H65" s="122">
        <f t="shared" si="0"/>
        <v>0</v>
      </c>
    </row>
    <row r="66" spans="2:8" ht="20.100000000000001" customHeight="1">
      <c r="B66" s="120" t="s">
        <v>403</v>
      </c>
      <c r="C66" s="120" t="s">
        <v>864</v>
      </c>
      <c r="D66" s="121">
        <v>0</v>
      </c>
      <c r="E66" s="121">
        <v>0</v>
      </c>
      <c r="F66" s="121">
        <v>0</v>
      </c>
      <c r="G66" s="121">
        <v>0</v>
      </c>
      <c r="H66" s="122">
        <f t="shared" ref="H66" si="14">G66+F66+E66+D66</f>
        <v>0</v>
      </c>
    </row>
    <row r="67" spans="2:8" ht="20.100000000000001" customHeight="1">
      <c r="B67" s="120" t="s">
        <v>404</v>
      </c>
      <c r="C67" s="120" t="s">
        <v>509</v>
      </c>
      <c r="D67" s="121">
        <v>0</v>
      </c>
      <c r="E67" s="121">
        <v>0</v>
      </c>
      <c r="F67" s="121">
        <v>0</v>
      </c>
      <c r="G67" s="121">
        <v>0</v>
      </c>
      <c r="H67" s="122">
        <f t="shared" si="0"/>
        <v>0</v>
      </c>
    </row>
    <row r="68" spans="2:8" ht="20.100000000000001" customHeight="1">
      <c r="B68" s="120" t="s">
        <v>605</v>
      </c>
      <c r="C68" s="120" t="s">
        <v>606</v>
      </c>
      <c r="D68" s="121">
        <v>0</v>
      </c>
      <c r="E68" s="121">
        <v>0</v>
      </c>
      <c r="F68" s="121">
        <v>0</v>
      </c>
      <c r="G68" s="121">
        <v>0</v>
      </c>
      <c r="H68" s="122">
        <f t="shared" si="0"/>
        <v>0</v>
      </c>
    </row>
    <row r="69" spans="2:8" ht="20.100000000000001" customHeight="1">
      <c r="B69" s="120" t="s">
        <v>257</v>
      </c>
      <c r="C69" s="120" t="s">
        <v>258</v>
      </c>
      <c r="D69" s="121">
        <v>0</v>
      </c>
      <c r="E69" s="121">
        <v>0</v>
      </c>
      <c r="F69" s="121">
        <v>0</v>
      </c>
      <c r="G69" s="121">
        <v>0</v>
      </c>
      <c r="H69" s="122">
        <f t="shared" si="0"/>
        <v>0</v>
      </c>
    </row>
    <row r="70" spans="2:8" ht="20.100000000000001" customHeight="1">
      <c r="B70" s="120" t="s">
        <v>259</v>
      </c>
      <c r="C70" s="120" t="s">
        <v>260</v>
      </c>
      <c r="D70" s="121">
        <v>0</v>
      </c>
      <c r="E70" s="121">
        <v>0</v>
      </c>
      <c r="F70" s="121">
        <v>0</v>
      </c>
      <c r="G70" s="121">
        <v>0</v>
      </c>
      <c r="H70" s="122">
        <f t="shared" si="0"/>
        <v>0</v>
      </c>
    </row>
    <row r="71" spans="2:8" ht="20.100000000000001" customHeight="1">
      <c r="B71" s="120" t="s">
        <v>259</v>
      </c>
      <c r="C71" s="120" t="s">
        <v>632</v>
      </c>
      <c r="D71" s="121">
        <v>0</v>
      </c>
      <c r="E71" s="121">
        <v>0</v>
      </c>
      <c r="F71" s="121">
        <v>0</v>
      </c>
      <c r="G71" s="121">
        <v>0</v>
      </c>
      <c r="H71" s="122">
        <f t="shared" si="0"/>
        <v>0</v>
      </c>
    </row>
    <row r="72" spans="2:8" ht="20.100000000000001" customHeight="1">
      <c r="B72" s="120" t="s">
        <v>416</v>
      </c>
      <c r="C72" s="120" t="s">
        <v>417</v>
      </c>
      <c r="D72" s="121">
        <v>0</v>
      </c>
      <c r="E72" s="121">
        <v>0</v>
      </c>
      <c r="F72" s="121">
        <v>0</v>
      </c>
      <c r="G72" s="121">
        <v>0</v>
      </c>
      <c r="H72" s="122">
        <f t="shared" si="0"/>
        <v>0</v>
      </c>
    </row>
    <row r="73" spans="2:8" ht="20.100000000000001" customHeight="1">
      <c r="B73" s="120" t="s">
        <v>416</v>
      </c>
      <c r="C73" s="120" t="s">
        <v>633</v>
      </c>
      <c r="D73" s="121">
        <v>0</v>
      </c>
      <c r="E73" s="121">
        <v>0</v>
      </c>
      <c r="F73" s="121">
        <v>0</v>
      </c>
      <c r="G73" s="121">
        <v>0</v>
      </c>
      <c r="H73" s="122">
        <f t="shared" si="0"/>
        <v>0</v>
      </c>
    </row>
    <row r="74" spans="2:8" ht="20.100000000000001" customHeight="1">
      <c r="B74" s="120" t="s">
        <v>690</v>
      </c>
      <c r="C74" s="120" t="s">
        <v>783</v>
      </c>
      <c r="D74" s="121">
        <v>0</v>
      </c>
      <c r="E74" s="121">
        <v>0</v>
      </c>
      <c r="F74" s="121">
        <v>0</v>
      </c>
      <c r="G74" s="121">
        <v>0</v>
      </c>
      <c r="H74" s="122">
        <f t="shared" ref="H74:H75" si="15">G74+F74+E74+D74</f>
        <v>0</v>
      </c>
    </row>
    <row r="75" spans="2:8" ht="20.100000000000001" customHeight="1">
      <c r="B75" s="120" t="s">
        <v>688</v>
      </c>
      <c r="C75" s="120" t="s">
        <v>689</v>
      </c>
      <c r="D75" s="121">
        <v>0</v>
      </c>
      <c r="E75" s="121">
        <v>0</v>
      </c>
      <c r="F75" s="121">
        <v>0</v>
      </c>
      <c r="G75" s="121">
        <v>0</v>
      </c>
      <c r="H75" s="122">
        <f t="shared" si="15"/>
        <v>0</v>
      </c>
    </row>
    <row r="76" spans="2:8" ht="20.100000000000001" customHeight="1">
      <c r="B76" s="120" t="s">
        <v>634</v>
      </c>
      <c r="C76" s="120" t="s">
        <v>635</v>
      </c>
      <c r="D76" s="121">
        <v>0</v>
      </c>
      <c r="E76" s="121">
        <v>0</v>
      </c>
      <c r="F76" s="121">
        <v>0</v>
      </c>
      <c r="G76" s="121">
        <v>0</v>
      </c>
      <c r="H76" s="122">
        <f t="shared" si="0"/>
        <v>0</v>
      </c>
    </row>
    <row r="77" spans="2:8" ht="20.100000000000001" customHeight="1">
      <c r="B77" s="120" t="s">
        <v>636</v>
      </c>
      <c r="C77" s="120" t="s">
        <v>637</v>
      </c>
      <c r="D77" s="121">
        <v>0</v>
      </c>
      <c r="E77" s="121">
        <v>0</v>
      </c>
      <c r="F77" s="121">
        <v>0</v>
      </c>
      <c r="G77" s="121">
        <v>0</v>
      </c>
      <c r="H77" s="122">
        <f t="shared" si="0"/>
        <v>0</v>
      </c>
    </row>
    <row r="78" spans="2:8" ht="20.100000000000001" customHeight="1">
      <c r="B78" s="120" t="s">
        <v>447</v>
      </c>
      <c r="C78" s="120" t="s">
        <v>448</v>
      </c>
      <c r="D78" s="121">
        <v>0</v>
      </c>
      <c r="E78" s="121">
        <v>0</v>
      </c>
      <c r="F78" s="121">
        <v>0</v>
      </c>
      <c r="G78" s="121">
        <v>0</v>
      </c>
      <c r="H78" s="122">
        <f t="shared" si="0"/>
        <v>0</v>
      </c>
    </row>
    <row r="79" spans="2:8" ht="20.100000000000001" customHeight="1">
      <c r="B79" s="120" t="s">
        <v>926</v>
      </c>
      <c r="C79" s="120" t="s">
        <v>1079</v>
      </c>
      <c r="D79" s="121">
        <v>0</v>
      </c>
      <c r="E79" s="121">
        <v>0</v>
      </c>
      <c r="F79" s="121">
        <v>0</v>
      </c>
      <c r="G79" s="121">
        <v>0</v>
      </c>
      <c r="H79" s="122">
        <f t="shared" ref="H79" si="16">G79+F79+E79+D79</f>
        <v>0</v>
      </c>
    </row>
    <row r="80" spans="2:8" ht="20.100000000000001" customHeight="1">
      <c r="B80" s="120" t="s">
        <v>449</v>
      </c>
      <c r="C80" s="120" t="s">
        <v>450</v>
      </c>
      <c r="D80" s="121">
        <v>0</v>
      </c>
      <c r="E80" s="121">
        <v>0</v>
      </c>
      <c r="F80" s="121">
        <v>0</v>
      </c>
      <c r="G80" s="121">
        <v>0</v>
      </c>
      <c r="H80" s="122">
        <f t="shared" si="0"/>
        <v>0</v>
      </c>
    </row>
    <row r="81" spans="2:8" ht="20.100000000000001" customHeight="1">
      <c r="B81" s="120" t="s">
        <v>451</v>
      </c>
      <c r="C81" s="120" t="s">
        <v>452</v>
      </c>
      <c r="D81" s="121">
        <v>0</v>
      </c>
      <c r="E81" s="121">
        <v>0</v>
      </c>
      <c r="F81" s="121">
        <v>0</v>
      </c>
      <c r="G81" s="121">
        <v>0</v>
      </c>
      <c r="H81" s="122">
        <f t="shared" si="0"/>
        <v>0</v>
      </c>
    </row>
    <row r="82" spans="2:8" ht="20.100000000000001" customHeight="1">
      <c r="B82" s="120" t="s">
        <v>655</v>
      </c>
      <c r="C82" s="120" t="s">
        <v>656</v>
      </c>
      <c r="D82" s="121">
        <v>0</v>
      </c>
      <c r="E82" s="121">
        <v>0</v>
      </c>
      <c r="F82" s="121">
        <v>0</v>
      </c>
      <c r="G82" s="121">
        <v>0</v>
      </c>
      <c r="H82" s="122">
        <f t="shared" si="0"/>
        <v>0</v>
      </c>
    </row>
    <row r="83" spans="2:8" ht="20.100000000000001" customHeight="1">
      <c r="B83" s="120" t="s">
        <v>453</v>
      </c>
      <c r="C83" s="120" t="s">
        <v>454</v>
      </c>
      <c r="D83" s="121">
        <v>0</v>
      </c>
      <c r="E83" s="121">
        <v>0</v>
      </c>
      <c r="F83" s="121">
        <v>0</v>
      </c>
      <c r="G83" s="121">
        <v>0</v>
      </c>
      <c r="H83" s="122">
        <f t="shared" si="0"/>
        <v>0</v>
      </c>
    </row>
    <row r="84" spans="2:8" ht="20.100000000000001" customHeight="1">
      <c r="B84" s="120" t="s">
        <v>455</v>
      </c>
      <c r="C84" s="120" t="s">
        <v>456</v>
      </c>
      <c r="D84" s="121">
        <v>0</v>
      </c>
      <c r="E84" s="121">
        <v>0</v>
      </c>
      <c r="F84" s="121">
        <v>0</v>
      </c>
      <c r="G84" s="121">
        <v>0</v>
      </c>
      <c r="H84" s="122">
        <f t="shared" si="0"/>
        <v>0</v>
      </c>
    </row>
    <row r="85" spans="2:8" ht="20.100000000000001" customHeight="1">
      <c r="B85" s="120" t="s">
        <v>457</v>
      </c>
      <c r="C85" s="120" t="s">
        <v>458</v>
      </c>
      <c r="D85" s="121">
        <v>0</v>
      </c>
      <c r="E85" s="121">
        <v>0</v>
      </c>
      <c r="F85" s="121">
        <v>0</v>
      </c>
      <c r="G85" s="121">
        <v>0</v>
      </c>
      <c r="H85" s="122">
        <f t="shared" ref="H85" si="17">G85+F85+E85+D85</f>
        <v>0</v>
      </c>
    </row>
    <row r="86" spans="2:8" ht="20.100000000000001" customHeight="1">
      <c r="B86" s="120" t="s">
        <v>457</v>
      </c>
      <c r="C86" s="120" t="s">
        <v>1080</v>
      </c>
      <c r="D86" s="121">
        <v>0</v>
      </c>
      <c r="E86" s="121">
        <v>0</v>
      </c>
      <c r="F86" s="121">
        <v>0</v>
      </c>
      <c r="G86" s="121">
        <v>0</v>
      </c>
      <c r="H86" s="122">
        <f t="shared" si="0"/>
        <v>0</v>
      </c>
    </row>
    <row r="87" spans="2:8" ht="20.100000000000001" customHeight="1">
      <c r="B87" s="120" t="s">
        <v>459</v>
      </c>
      <c r="C87" s="120" t="s">
        <v>460</v>
      </c>
      <c r="D87" s="121">
        <v>0</v>
      </c>
      <c r="E87" s="121">
        <v>0</v>
      </c>
      <c r="F87" s="121">
        <v>0</v>
      </c>
      <c r="G87" s="121">
        <v>0</v>
      </c>
      <c r="H87" s="122">
        <f t="shared" si="0"/>
        <v>0</v>
      </c>
    </row>
    <row r="88" spans="2:8" ht="20.100000000000001" customHeight="1">
      <c r="B88" s="120" t="s">
        <v>461</v>
      </c>
      <c r="C88" s="120" t="s">
        <v>462</v>
      </c>
      <c r="D88" s="121">
        <v>0</v>
      </c>
      <c r="E88" s="121">
        <v>0</v>
      </c>
      <c r="F88" s="121">
        <v>0</v>
      </c>
      <c r="G88" s="121">
        <v>0</v>
      </c>
      <c r="H88" s="122">
        <f t="shared" si="0"/>
        <v>0</v>
      </c>
    </row>
    <row r="89" spans="2:8" ht="20.100000000000001" customHeight="1">
      <c r="B89" s="120" t="s">
        <v>463</v>
      </c>
      <c r="C89" s="120" t="s">
        <v>464</v>
      </c>
      <c r="D89" s="121">
        <v>0</v>
      </c>
      <c r="E89" s="121">
        <v>0</v>
      </c>
      <c r="F89" s="121">
        <v>0</v>
      </c>
      <c r="G89" s="121">
        <v>0</v>
      </c>
      <c r="H89" s="122">
        <f t="shared" si="0"/>
        <v>0</v>
      </c>
    </row>
    <row r="90" spans="2:8" ht="20.100000000000001" customHeight="1">
      <c r="B90" s="120" t="s">
        <v>907</v>
      </c>
      <c r="C90" s="120" t="s">
        <v>908</v>
      </c>
      <c r="D90" s="121">
        <v>0</v>
      </c>
      <c r="E90" s="121">
        <v>0</v>
      </c>
      <c r="F90" s="121">
        <v>0</v>
      </c>
      <c r="G90" s="121">
        <v>0</v>
      </c>
      <c r="H90" s="122">
        <f t="shared" ref="H90" si="18">G90+F90+E90+D90</f>
        <v>0</v>
      </c>
    </row>
    <row r="91" spans="2:8" ht="20.100000000000001" customHeight="1">
      <c r="B91" s="120" t="s">
        <v>465</v>
      </c>
      <c r="C91" s="120" t="s">
        <v>466</v>
      </c>
      <c r="D91" s="121">
        <v>0</v>
      </c>
      <c r="E91" s="121">
        <v>0</v>
      </c>
      <c r="F91" s="121">
        <v>0</v>
      </c>
      <c r="G91" s="121">
        <v>0</v>
      </c>
      <c r="H91" s="122">
        <f t="shared" si="0"/>
        <v>0</v>
      </c>
    </row>
    <row r="92" spans="2:8" ht="20.100000000000001" customHeight="1">
      <c r="B92" s="120" t="s">
        <v>465</v>
      </c>
      <c r="C92" s="120" t="s">
        <v>1033</v>
      </c>
      <c r="D92" s="121">
        <v>0</v>
      </c>
      <c r="E92" s="121">
        <v>0</v>
      </c>
      <c r="F92" s="121">
        <v>0</v>
      </c>
      <c r="G92" s="121">
        <v>0</v>
      </c>
      <c r="H92" s="122">
        <f t="shared" ref="H92" si="19">G92+F92+E92+D92</f>
        <v>0</v>
      </c>
    </row>
    <row r="93" spans="2:8" ht="20.100000000000001" customHeight="1">
      <c r="B93" s="120" t="s">
        <v>467</v>
      </c>
      <c r="C93" s="120" t="s">
        <v>468</v>
      </c>
      <c r="D93" s="121">
        <v>0</v>
      </c>
      <c r="E93" s="121">
        <v>0</v>
      </c>
      <c r="F93" s="121">
        <v>0</v>
      </c>
      <c r="G93" s="121">
        <v>0</v>
      </c>
      <c r="H93" s="122">
        <f t="shared" si="0"/>
        <v>0</v>
      </c>
    </row>
    <row r="94" spans="2:8" ht="20.100000000000001" customHeight="1">
      <c r="B94" s="120" t="s">
        <v>469</v>
      </c>
      <c r="C94" s="120" t="s">
        <v>470</v>
      </c>
      <c r="D94" s="121">
        <v>0</v>
      </c>
      <c r="E94" s="121">
        <v>0</v>
      </c>
      <c r="F94" s="121">
        <v>0</v>
      </c>
      <c r="G94" s="121">
        <v>0</v>
      </c>
      <c r="H94" s="122">
        <f t="shared" si="0"/>
        <v>0</v>
      </c>
    </row>
    <row r="95" spans="2:8" ht="20.100000000000001" customHeight="1">
      <c r="B95" s="120" t="s">
        <v>657</v>
      </c>
      <c r="C95" s="120" t="s">
        <v>658</v>
      </c>
      <c r="D95" s="121">
        <v>0</v>
      </c>
      <c r="E95" s="121">
        <v>0</v>
      </c>
      <c r="F95" s="121">
        <v>0</v>
      </c>
      <c r="G95" s="121">
        <v>0</v>
      </c>
      <c r="H95" s="122">
        <f t="shared" si="0"/>
        <v>0</v>
      </c>
    </row>
    <row r="96" spans="2:8" ht="20.100000000000001" customHeight="1">
      <c r="B96" s="123" t="s">
        <v>423</v>
      </c>
      <c r="C96" s="123" t="s">
        <v>425</v>
      </c>
      <c r="D96" s="124">
        <v>0</v>
      </c>
      <c r="E96" s="124">
        <v>0</v>
      </c>
      <c r="F96" s="124">
        <v>0</v>
      </c>
      <c r="G96" s="124">
        <v>0</v>
      </c>
      <c r="H96" s="125">
        <f t="shared" si="0"/>
        <v>0</v>
      </c>
    </row>
    <row r="97" spans="2:8" ht="20.100000000000001" customHeight="1">
      <c r="B97" s="120" t="s">
        <v>638</v>
      </c>
      <c r="C97" s="120" t="s">
        <v>639</v>
      </c>
      <c r="D97" s="121">
        <v>0</v>
      </c>
      <c r="E97" s="121">
        <v>0</v>
      </c>
      <c r="F97" s="121">
        <v>0</v>
      </c>
      <c r="G97" s="121">
        <v>0</v>
      </c>
      <c r="H97" s="122">
        <f t="shared" si="0"/>
        <v>0</v>
      </c>
    </row>
    <row r="98" spans="2:8" ht="20.100000000000001" customHeight="1">
      <c r="B98" s="120" t="s">
        <v>962</v>
      </c>
      <c r="C98" s="120" t="s">
        <v>963</v>
      </c>
      <c r="D98" s="121">
        <v>0</v>
      </c>
      <c r="E98" s="121">
        <v>0</v>
      </c>
      <c r="F98" s="121">
        <v>0</v>
      </c>
      <c r="G98" s="121">
        <v>0</v>
      </c>
      <c r="H98" s="122">
        <f t="shared" ref="H98" si="20">G98+F98+E98+D98</f>
        <v>0</v>
      </c>
    </row>
    <row r="99" spans="2:8" ht="20.100000000000001" customHeight="1">
      <c r="B99" s="120" t="s">
        <v>640</v>
      </c>
      <c r="C99" s="120" t="s">
        <v>641</v>
      </c>
      <c r="D99" s="121">
        <v>0</v>
      </c>
      <c r="E99" s="121">
        <v>0</v>
      </c>
      <c r="F99" s="121">
        <v>0</v>
      </c>
      <c r="G99" s="121">
        <v>0</v>
      </c>
      <c r="H99" s="122">
        <f t="shared" si="0"/>
        <v>0</v>
      </c>
    </row>
    <row r="100" spans="2:8" ht="20.100000000000001" customHeight="1">
      <c r="B100" s="120" t="s">
        <v>642</v>
      </c>
      <c r="C100" s="120" t="s">
        <v>643</v>
      </c>
      <c r="D100" s="121">
        <v>0</v>
      </c>
      <c r="E100" s="121">
        <v>0</v>
      </c>
      <c r="F100" s="121">
        <v>0</v>
      </c>
      <c r="G100" s="121">
        <v>0</v>
      </c>
      <c r="H100" s="122">
        <f t="shared" si="0"/>
        <v>0</v>
      </c>
    </row>
    <row r="101" spans="2:8" ht="20.100000000000001" customHeight="1">
      <c r="B101" s="120" t="s">
        <v>424</v>
      </c>
      <c r="C101" s="120" t="s">
        <v>426</v>
      </c>
      <c r="D101" s="121">
        <v>0</v>
      </c>
      <c r="E101" s="121">
        <v>0</v>
      </c>
      <c r="F101" s="121">
        <v>0</v>
      </c>
      <c r="G101" s="121">
        <v>0</v>
      </c>
      <c r="H101" s="122">
        <f t="shared" si="0"/>
        <v>0</v>
      </c>
    </row>
    <row r="102" spans="2:8" ht="20.100000000000001" customHeight="1">
      <c r="B102" s="120" t="s">
        <v>430</v>
      </c>
      <c r="C102" s="120" t="s">
        <v>431</v>
      </c>
      <c r="D102" s="121">
        <v>0</v>
      </c>
      <c r="E102" s="121">
        <v>0</v>
      </c>
      <c r="F102" s="121">
        <v>0</v>
      </c>
      <c r="G102" s="121">
        <v>0</v>
      </c>
      <c r="H102" s="122">
        <f t="shared" si="0"/>
        <v>0</v>
      </c>
    </row>
    <row r="103" spans="2:8" ht="20.100000000000001" customHeight="1">
      <c r="B103" s="120" t="s">
        <v>266</v>
      </c>
      <c r="C103" s="120" t="s">
        <v>869</v>
      </c>
      <c r="D103" s="121">
        <v>0</v>
      </c>
      <c r="E103" s="121">
        <v>0</v>
      </c>
      <c r="F103" s="121">
        <v>0</v>
      </c>
      <c r="G103" s="121">
        <v>0</v>
      </c>
      <c r="H103" s="122">
        <f t="shared" si="0"/>
        <v>0</v>
      </c>
    </row>
    <row r="104" spans="2:8" ht="20.100000000000001" customHeight="1">
      <c r="B104" s="120" t="s">
        <v>644</v>
      </c>
      <c r="C104" s="120" t="s">
        <v>645</v>
      </c>
      <c r="D104" s="121">
        <v>0</v>
      </c>
      <c r="E104" s="121">
        <v>0</v>
      </c>
      <c r="F104" s="121">
        <v>0</v>
      </c>
      <c r="G104" s="121">
        <v>0</v>
      </c>
      <c r="H104" s="122">
        <f>G104+F104+E104+D104</f>
        <v>0</v>
      </c>
    </row>
    <row r="105" spans="2:8" ht="20.100000000000001" customHeight="1">
      <c r="B105" s="120" t="s">
        <v>1075</v>
      </c>
      <c r="C105" s="120" t="s">
        <v>1076</v>
      </c>
      <c r="D105" s="121">
        <v>0</v>
      </c>
      <c r="E105" s="121">
        <v>0</v>
      </c>
      <c r="F105" s="121">
        <v>0</v>
      </c>
      <c r="G105" s="121">
        <v>0</v>
      </c>
      <c r="H105" s="122">
        <f t="shared" ref="H105" si="21">G105+F105+E105+D105</f>
        <v>0</v>
      </c>
    </row>
    <row r="106" spans="2:8" ht="20.100000000000001" customHeight="1">
      <c r="B106" s="120" t="s">
        <v>1096</v>
      </c>
      <c r="C106" s="120" t="s">
        <v>1078</v>
      </c>
      <c r="D106" s="121">
        <v>0</v>
      </c>
      <c r="E106" s="121">
        <v>0</v>
      </c>
      <c r="F106" s="121">
        <v>0</v>
      </c>
      <c r="G106" s="121">
        <v>0</v>
      </c>
      <c r="H106" s="122">
        <f>G106+F106+E106+D106</f>
        <v>0</v>
      </c>
    </row>
    <row r="107" spans="2:8" ht="20.100000000000001" customHeight="1">
      <c r="B107" s="126" t="s">
        <v>445</v>
      </c>
      <c r="C107" s="126" t="s">
        <v>446</v>
      </c>
      <c r="D107" s="127">
        <v>0</v>
      </c>
      <c r="E107" s="127">
        <v>0</v>
      </c>
      <c r="F107" s="127">
        <v>0</v>
      </c>
      <c r="G107" s="127">
        <v>0</v>
      </c>
      <c r="H107" s="128">
        <f t="shared" si="0"/>
        <v>0</v>
      </c>
    </row>
    <row r="108" spans="2:8" ht="20.100000000000001" customHeight="1" thickBot="1">
      <c r="B108" s="292" t="s">
        <v>15</v>
      </c>
      <c r="C108" s="293"/>
      <c r="D108" s="75">
        <f>SUM(D8:D107)</f>
        <v>0</v>
      </c>
      <c r="E108" s="75">
        <f>SUM(E8:E107)</f>
        <v>0</v>
      </c>
      <c r="F108" s="75">
        <f>SUM(F8:F107)</f>
        <v>0</v>
      </c>
      <c r="G108" s="75">
        <f>SUM(G8:G107)</f>
        <v>0</v>
      </c>
      <c r="H108" s="75">
        <f>SUM(H8:H107)</f>
        <v>0</v>
      </c>
    </row>
    <row r="109" spans="2:8" ht="20.100000000000001" customHeight="1">
      <c r="B109" s="37" t="s">
        <v>16</v>
      </c>
      <c r="C109" s="76"/>
      <c r="D109" s="76"/>
      <c r="E109" s="115"/>
      <c r="F109" s="76"/>
      <c r="G109" s="76"/>
      <c r="H109" s="35"/>
    </row>
    <row r="110" spans="2:8" ht="20.100000000000001" customHeight="1">
      <c r="B110" s="117" t="s">
        <v>344</v>
      </c>
      <c r="C110" s="117" t="s">
        <v>893</v>
      </c>
      <c r="D110" s="118">
        <v>0</v>
      </c>
      <c r="E110" s="118">
        <v>0</v>
      </c>
      <c r="F110" s="118">
        <v>0</v>
      </c>
      <c r="G110" s="118">
        <v>0</v>
      </c>
      <c r="H110" s="119">
        <f t="shared" ref="H110:H173" si="22">G110+F110+E110+D110</f>
        <v>0</v>
      </c>
    </row>
    <row r="111" spans="2:8" ht="20.100000000000001" customHeight="1">
      <c r="B111" s="120" t="s">
        <v>344</v>
      </c>
      <c r="C111" s="120" t="s">
        <v>894</v>
      </c>
      <c r="D111" s="121">
        <v>0</v>
      </c>
      <c r="E111" s="121">
        <v>0</v>
      </c>
      <c r="F111" s="121">
        <v>0</v>
      </c>
      <c r="G111" s="121">
        <v>0</v>
      </c>
      <c r="H111" s="122">
        <f t="shared" ref="H111" si="23">G111+F111+E111+D111</f>
        <v>0</v>
      </c>
    </row>
    <row r="112" spans="2:8" ht="20.100000000000001" customHeight="1">
      <c r="B112" s="120" t="s">
        <v>344</v>
      </c>
      <c r="C112" s="120" t="s">
        <v>855</v>
      </c>
      <c r="D112" s="121">
        <v>0</v>
      </c>
      <c r="E112" s="121">
        <v>0</v>
      </c>
      <c r="F112" s="121">
        <v>0</v>
      </c>
      <c r="G112" s="121">
        <v>0</v>
      </c>
      <c r="H112" s="122">
        <f t="shared" si="22"/>
        <v>0</v>
      </c>
    </row>
    <row r="113" spans="2:8" ht="20.100000000000001" customHeight="1">
      <c r="B113" s="120" t="s">
        <v>344</v>
      </c>
      <c r="C113" s="120" t="s">
        <v>345</v>
      </c>
      <c r="D113" s="121">
        <v>0</v>
      </c>
      <c r="E113" s="121">
        <v>0</v>
      </c>
      <c r="F113" s="121">
        <v>0</v>
      </c>
      <c r="G113" s="121">
        <v>0</v>
      </c>
      <c r="H113" s="122">
        <f t="shared" ref="H113" si="24">G113+F113+E113+D113</f>
        <v>0</v>
      </c>
    </row>
    <row r="114" spans="2:8" ht="20.100000000000001" customHeight="1">
      <c r="B114" s="120" t="s">
        <v>834</v>
      </c>
      <c r="C114" s="120" t="s">
        <v>854</v>
      </c>
      <c r="D114" s="121">
        <v>0</v>
      </c>
      <c r="E114" s="121">
        <v>0</v>
      </c>
      <c r="F114" s="121">
        <v>0</v>
      </c>
      <c r="G114" s="121">
        <v>0</v>
      </c>
      <c r="H114" s="122">
        <f t="shared" si="22"/>
        <v>0</v>
      </c>
    </row>
    <row r="115" spans="2:8" ht="20.100000000000001" customHeight="1">
      <c r="B115" s="120" t="s">
        <v>834</v>
      </c>
      <c r="C115" s="120" t="s">
        <v>853</v>
      </c>
      <c r="D115" s="121">
        <v>0</v>
      </c>
      <c r="E115" s="121">
        <v>0</v>
      </c>
      <c r="F115" s="121">
        <v>0</v>
      </c>
      <c r="G115" s="121">
        <v>0</v>
      </c>
      <c r="H115" s="122">
        <f t="shared" ref="H115" si="25">G115+F115+E115+D115</f>
        <v>0</v>
      </c>
    </row>
    <row r="116" spans="2:8" ht="20.100000000000001" customHeight="1">
      <c r="B116" s="120" t="s">
        <v>834</v>
      </c>
      <c r="C116" s="120" t="s">
        <v>835</v>
      </c>
      <c r="D116" s="121">
        <v>0</v>
      </c>
      <c r="E116" s="121">
        <v>0</v>
      </c>
      <c r="F116" s="121">
        <v>0</v>
      </c>
      <c r="G116" s="121">
        <v>0</v>
      </c>
      <c r="H116" s="122">
        <f t="shared" ref="H116" si="26">G116+F116+E116+D116</f>
        <v>0</v>
      </c>
    </row>
    <row r="117" spans="2:8" ht="20.100000000000001" customHeight="1">
      <c r="B117" s="120" t="s">
        <v>834</v>
      </c>
      <c r="C117" s="120" t="s">
        <v>852</v>
      </c>
      <c r="D117" s="121">
        <v>0</v>
      </c>
      <c r="E117" s="121">
        <v>0</v>
      </c>
      <c r="F117" s="121">
        <v>0</v>
      </c>
      <c r="G117" s="121">
        <v>0</v>
      </c>
      <c r="H117" s="122">
        <f t="shared" ref="H117" si="27">G117+F117+E117+D117</f>
        <v>0</v>
      </c>
    </row>
    <row r="118" spans="2:8" ht="20.100000000000001" customHeight="1">
      <c r="B118" s="120" t="s">
        <v>815</v>
      </c>
      <c r="C118" s="120" t="s">
        <v>816</v>
      </c>
      <c r="D118" s="121"/>
      <c r="E118" s="121">
        <v>0</v>
      </c>
      <c r="F118" s="121">
        <v>0</v>
      </c>
      <c r="G118" s="121">
        <v>0</v>
      </c>
      <c r="H118" s="122">
        <f t="shared" si="22"/>
        <v>0</v>
      </c>
    </row>
    <row r="119" spans="2:8" ht="20.100000000000001" customHeight="1">
      <c r="B119" s="120" t="s">
        <v>769</v>
      </c>
      <c r="C119" s="120" t="s">
        <v>770</v>
      </c>
      <c r="D119" s="121">
        <v>0</v>
      </c>
      <c r="E119" s="121">
        <v>0</v>
      </c>
      <c r="F119" s="121">
        <v>0</v>
      </c>
      <c r="G119" s="121">
        <v>0</v>
      </c>
      <c r="H119" s="122">
        <f t="shared" ref="H119:H120" si="28">G119+F119+E119+D119</f>
        <v>0</v>
      </c>
    </row>
    <row r="120" spans="2:8" ht="20.100000000000001" customHeight="1">
      <c r="B120" s="123" t="s">
        <v>769</v>
      </c>
      <c r="C120" s="123" t="s">
        <v>921</v>
      </c>
      <c r="D120" s="124">
        <v>0</v>
      </c>
      <c r="E120" s="124">
        <v>0</v>
      </c>
      <c r="F120" s="124">
        <v>0</v>
      </c>
      <c r="G120" s="124">
        <v>0</v>
      </c>
      <c r="H120" s="125">
        <f t="shared" si="28"/>
        <v>0</v>
      </c>
    </row>
    <row r="121" spans="2:8" ht="20.100000000000001" customHeight="1">
      <c r="B121" s="120" t="s">
        <v>769</v>
      </c>
      <c r="C121" s="120" t="s">
        <v>771</v>
      </c>
      <c r="D121" s="121">
        <v>0</v>
      </c>
      <c r="E121" s="121">
        <v>0</v>
      </c>
      <c r="F121" s="121">
        <v>0</v>
      </c>
      <c r="G121" s="121">
        <v>0</v>
      </c>
      <c r="H121" s="122">
        <f t="shared" ref="H121:H122" si="29">G121+F121+E121+D121</f>
        <v>0</v>
      </c>
    </row>
    <row r="122" spans="2:8" ht="20.100000000000001" customHeight="1">
      <c r="B122" s="120" t="s">
        <v>947</v>
      </c>
      <c r="C122" s="120" t="s">
        <v>948</v>
      </c>
      <c r="D122" s="121">
        <v>0</v>
      </c>
      <c r="E122" s="121">
        <v>0</v>
      </c>
      <c r="F122" s="121">
        <v>0</v>
      </c>
      <c r="G122" s="121">
        <v>0</v>
      </c>
      <c r="H122" s="122">
        <f t="shared" si="29"/>
        <v>0</v>
      </c>
    </row>
    <row r="123" spans="2:8" ht="20.100000000000001" customHeight="1">
      <c r="B123" s="120" t="s">
        <v>346</v>
      </c>
      <c r="C123" s="120" t="s">
        <v>949</v>
      </c>
      <c r="D123" s="121">
        <v>0</v>
      </c>
      <c r="E123" s="121">
        <v>0</v>
      </c>
      <c r="F123" s="121">
        <v>0</v>
      </c>
      <c r="G123" s="121">
        <v>0</v>
      </c>
      <c r="H123" s="122">
        <f t="shared" si="22"/>
        <v>0</v>
      </c>
    </row>
    <row r="124" spans="2:8" ht="20.100000000000001" customHeight="1">
      <c r="B124" s="120" t="s">
        <v>919</v>
      </c>
      <c r="C124" s="120" t="s">
        <v>920</v>
      </c>
      <c r="D124" s="121">
        <v>0</v>
      </c>
      <c r="E124" s="121">
        <v>0</v>
      </c>
      <c r="F124" s="121">
        <v>0</v>
      </c>
      <c r="G124" s="121">
        <v>0</v>
      </c>
      <c r="H124" s="122">
        <f t="shared" ref="H124:H125" si="30">G124+F124+E124+D124</f>
        <v>0</v>
      </c>
    </row>
    <row r="125" spans="2:8" ht="20.100000000000001" customHeight="1">
      <c r="B125" s="120" t="s">
        <v>707</v>
      </c>
      <c r="C125" s="120" t="s">
        <v>708</v>
      </c>
      <c r="D125" s="121">
        <v>0</v>
      </c>
      <c r="E125" s="121">
        <v>0</v>
      </c>
      <c r="F125" s="121">
        <v>0</v>
      </c>
      <c r="G125" s="121">
        <v>0</v>
      </c>
      <c r="H125" s="122">
        <f t="shared" si="30"/>
        <v>0</v>
      </c>
    </row>
    <row r="126" spans="2:8" ht="20.100000000000001" customHeight="1">
      <c r="B126" s="120" t="s">
        <v>707</v>
      </c>
      <c r="C126" s="120" t="s">
        <v>939</v>
      </c>
      <c r="D126" s="121">
        <v>0</v>
      </c>
      <c r="E126" s="121">
        <v>0</v>
      </c>
      <c r="F126" s="121">
        <v>0</v>
      </c>
      <c r="G126" s="121">
        <v>0</v>
      </c>
      <c r="H126" s="122">
        <f t="shared" si="22"/>
        <v>0</v>
      </c>
    </row>
    <row r="127" spans="2:8" ht="20.100000000000001" customHeight="1">
      <c r="B127" s="120" t="s">
        <v>210</v>
      </c>
      <c r="C127" s="120" t="s">
        <v>211</v>
      </c>
      <c r="D127" s="121">
        <v>0</v>
      </c>
      <c r="E127" s="121">
        <v>0</v>
      </c>
      <c r="F127" s="121">
        <v>0</v>
      </c>
      <c r="G127" s="121">
        <v>0</v>
      </c>
      <c r="H127" s="122">
        <f t="shared" ref="H127" si="31">G127+F127+E127+D127</f>
        <v>0</v>
      </c>
    </row>
    <row r="128" spans="2:8" ht="20.100000000000001" customHeight="1">
      <c r="B128" s="120" t="s">
        <v>210</v>
      </c>
      <c r="C128" s="120" t="s">
        <v>550</v>
      </c>
      <c r="D128" s="121">
        <v>0</v>
      </c>
      <c r="E128" s="121">
        <v>0</v>
      </c>
      <c r="F128" s="121">
        <v>0</v>
      </c>
      <c r="G128" s="121">
        <v>0</v>
      </c>
      <c r="H128" s="122">
        <f t="shared" si="22"/>
        <v>0</v>
      </c>
    </row>
    <row r="129" spans="2:8" ht="20.100000000000001" customHeight="1">
      <c r="B129" s="120" t="s">
        <v>705</v>
      </c>
      <c r="C129" s="120" t="s">
        <v>706</v>
      </c>
      <c r="D129" s="121">
        <v>0</v>
      </c>
      <c r="E129" s="121">
        <v>0</v>
      </c>
      <c r="F129" s="121">
        <v>0</v>
      </c>
      <c r="G129" s="121">
        <v>0</v>
      </c>
      <c r="H129" s="122">
        <f t="shared" ref="H129:H131" si="32">G129+F129+E129+D129</f>
        <v>0</v>
      </c>
    </row>
    <row r="130" spans="2:8" ht="20.100000000000001" customHeight="1">
      <c r="B130" s="120" t="s">
        <v>705</v>
      </c>
      <c r="C130" s="120" t="s">
        <v>942</v>
      </c>
      <c r="D130" s="121">
        <v>0</v>
      </c>
      <c r="E130" s="121">
        <v>0</v>
      </c>
      <c r="F130" s="121">
        <v>0</v>
      </c>
      <c r="G130" s="121">
        <v>0</v>
      </c>
      <c r="H130" s="122">
        <f t="shared" ref="H130" si="33">G130+F130+E130+D130</f>
        <v>0</v>
      </c>
    </row>
    <row r="131" spans="2:8" ht="20.100000000000001" customHeight="1">
      <c r="B131" s="120" t="s">
        <v>881</v>
      </c>
      <c r="C131" s="120" t="s">
        <v>851</v>
      </c>
      <c r="D131" s="121">
        <v>0</v>
      </c>
      <c r="E131" s="121">
        <v>0</v>
      </c>
      <c r="F131" s="121">
        <v>0</v>
      </c>
      <c r="G131" s="121">
        <v>0</v>
      </c>
      <c r="H131" s="122">
        <f t="shared" si="32"/>
        <v>0</v>
      </c>
    </row>
    <row r="132" spans="2:8" ht="20.100000000000001" customHeight="1">
      <c r="B132" s="120" t="s">
        <v>881</v>
      </c>
      <c r="C132" s="120" t="s">
        <v>850</v>
      </c>
      <c r="D132" s="121">
        <v>0</v>
      </c>
      <c r="E132" s="121">
        <v>0</v>
      </c>
      <c r="F132" s="121">
        <v>0</v>
      </c>
      <c r="G132" s="121">
        <v>0</v>
      </c>
      <c r="H132" s="122">
        <f t="shared" ref="H132" si="34">G132+F132+E132+D132</f>
        <v>0</v>
      </c>
    </row>
    <row r="133" spans="2:8" ht="20.100000000000001" customHeight="1">
      <c r="B133" s="120" t="s">
        <v>212</v>
      </c>
      <c r="C133" s="120" t="s">
        <v>213</v>
      </c>
      <c r="D133" s="121">
        <v>0</v>
      </c>
      <c r="E133" s="121">
        <v>0</v>
      </c>
      <c r="F133" s="121">
        <v>0</v>
      </c>
      <c r="G133" s="121">
        <v>0</v>
      </c>
      <c r="H133" s="122">
        <f t="shared" si="22"/>
        <v>0</v>
      </c>
    </row>
    <row r="134" spans="2:8" ht="20.100000000000001" customHeight="1">
      <c r="B134" s="120" t="s">
        <v>212</v>
      </c>
      <c r="C134" s="120" t="s">
        <v>214</v>
      </c>
      <c r="D134" s="121">
        <v>0</v>
      </c>
      <c r="E134" s="121">
        <v>0</v>
      </c>
      <c r="F134" s="121">
        <v>0</v>
      </c>
      <c r="G134" s="121">
        <v>0</v>
      </c>
      <c r="H134" s="122">
        <f t="shared" si="22"/>
        <v>0</v>
      </c>
    </row>
    <row r="135" spans="2:8" ht="20.100000000000001" customHeight="1">
      <c r="B135" s="120" t="s">
        <v>212</v>
      </c>
      <c r="C135" s="120" t="s">
        <v>551</v>
      </c>
      <c r="D135" s="121">
        <v>0</v>
      </c>
      <c r="E135" s="121">
        <v>0</v>
      </c>
      <c r="F135" s="121">
        <v>0</v>
      </c>
      <c r="G135" s="121">
        <v>0</v>
      </c>
      <c r="H135" s="122">
        <f t="shared" si="22"/>
        <v>0</v>
      </c>
    </row>
    <row r="136" spans="2:8" ht="20.100000000000001" customHeight="1">
      <c r="B136" s="120" t="s">
        <v>342</v>
      </c>
      <c r="C136" s="120" t="s">
        <v>343</v>
      </c>
      <c r="D136" s="121">
        <v>0</v>
      </c>
      <c r="E136" s="121">
        <v>0</v>
      </c>
      <c r="F136" s="121">
        <v>0</v>
      </c>
      <c r="G136" s="121">
        <v>0</v>
      </c>
      <c r="H136" s="122">
        <f t="shared" si="22"/>
        <v>0</v>
      </c>
    </row>
    <row r="137" spans="2:8" ht="20.100000000000001" customHeight="1">
      <c r="B137" s="120" t="s">
        <v>342</v>
      </c>
      <c r="C137" s="120" t="s">
        <v>891</v>
      </c>
      <c r="D137" s="121">
        <v>0</v>
      </c>
      <c r="E137" s="121">
        <v>0</v>
      </c>
      <c r="F137" s="121">
        <v>0</v>
      </c>
      <c r="G137" s="121">
        <v>0</v>
      </c>
      <c r="H137" s="122">
        <f t="shared" si="22"/>
        <v>0</v>
      </c>
    </row>
    <row r="138" spans="2:8" ht="20.100000000000001" customHeight="1">
      <c r="B138" s="120" t="s">
        <v>342</v>
      </c>
      <c r="C138" s="120" t="s">
        <v>892</v>
      </c>
      <c r="D138" s="121">
        <v>0</v>
      </c>
      <c r="E138" s="121">
        <v>0</v>
      </c>
      <c r="F138" s="121">
        <v>0</v>
      </c>
      <c r="G138" s="121">
        <v>0</v>
      </c>
      <c r="H138" s="122">
        <f t="shared" si="22"/>
        <v>0</v>
      </c>
    </row>
    <row r="139" spans="2:8" ht="20.100000000000001" customHeight="1">
      <c r="B139" s="120" t="s">
        <v>943</v>
      </c>
      <c r="C139" s="120" t="s">
        <v>944</v>
      </c>
      <c r="D139" s="121">
        <v>0</v>
      </c>
      <c r="E139" s="121">
        <v>0</v>
      </c>
      <c r="F139" s="121">
        <v>0</v>
      </c>
      <c r="G139" s="121">
        <v>0</v>
      </c>
      <c r="H139" s="122">
        <f t="shared" si="22"/>
        <v>0</v>
      </c>
    </row>
    <row r="140" spans="2:8" ht="20.100000000000001" customHeight="1">
      <c r="B140" s="120" t="s">
        <v>552</v>
      </c>
      <c r="C140" s="120" t="s">
        <v>553</v>
      </c>
      <c r="D140" s="121">
        <v>0</v>
      </c>
      <c r="E140" s="121">
        <v>0</v>
      </c>
      <c r="F140" s="121">
        <v>0</v>
      </c>
      <c r="G140" s="121">
        <v>0</v>
      </c>
      <c r="H140" s="122">
        <f t="shared" ref="H140" si="35">G140+F140+E140+D140</f>
        <v>0</v>
      </c>
    </row>
    <row r="141" spans="2:8" ht="20.100000000000001" customHeight="1">
      <c r="B141" s="120" t="s">
        <v>552</v>
      </c>
      <c r="C141" s="120" t="s">
        <v>554</v>
      </c>
      <c r="D141" s="121">
        <v>0</v>
      </c>
      <c r="E141" s="121">
        <v>0</v>
      </c>
      <c r="F141" s="121">
        <v>0</v>
      </c>
      <c r="G141" s="121">
        <v>0</v>
      </c>
      <c r="H141" s="122">
        <f t="shared" ref="H141:H142" si="36">G141+F141+E141+D141</f>
        <v>0</v>
      </c>
    </row>
    <row r="142" spans="2:8" ht="20.100000000000001" customHeight="1">
      <c r="B142" s="120" t="s">
        <v>751</v>
      </c>
      <c r="C142" s="120" t="s">
        <v>752</v>
      </c>
      <c r="D142" s="121">
        <v>0</v>
      </c>
      <c r="E142" s="121">
        <v>0</v>
      </c>
      <c r="F142" s="121">
        <v>0</v>
      </c>
      <c r="G142" s="121">
        <v>0</v>
      </c>
      <c r="H142" s="122">
        <f t="shared" si="36"/>
        <v>0</v>
      </c>
    </row>
    <row r="143" spans="2:8" ht="20.100000000000001" customHeight="1">
      <c r="B143" s="120" t="s">
        <v>751</v>
      </c>
      <c r="C143" s="120" t="s">
        <v>918</v>
      </c>
      <c r="D143" s="121">
        <v>0</v>
      </c>
      <c r="E143" s="121">
        <v>0</v>
      </c>
      <c r="F143" s="121">
        <v>0</v>
      </c>
      <c r="G143" s="121">
        <v>0</v>
      </c>
      <c r="H143" s="122">
        <f t="shared" ref="H143" si="37">G143+F143+E143+D143</f>
        <v>0</v>
      </c>
    </row>
    <row r="144" spans="2:8" ht="20.100000000000001" customHeight="1">
      <c r="B144" s="120" t="s">
        <v>945</v>
      </c>
      <c r="C144" s="120" t="s">
        <v>946</v>
      </c>
      <c r="D144" s="121">
        <v>0</v>
      </c>
      <c r="E144" s="121">
        <v>0</v>
      </c>
      <c r="F144" s="121">
        <v>0</v>
      </c>
      <c r="G144" s="121">
        <v>0</v>
      </c>
      <c r="H144" s="122">
        <f t="shared" ref="H144" si="38">G144+F144+E144+D144</f>
        <v>0</v>
      </c>
    </row>
    <row r="145" spans="2:8" ht="20.100000000000001" customHeight="1">
      <c r="B145" s="120" t="s">
        <v>555</v>
      </c>
      <c r="C145" s="120" t="s">
        <v>556</v>
      </c>
      <c r="D145" s="121">
        <v>0</v>
      </c>
      <c r="E145" s="121">
        <v>0</v>
      </c>
      <c r="F145" s="121">
        <v>0</v>
      </c>
      <c r="G145" s="121">
        <v>0</v>
      </c>
      <c r="H145" s="122">
        <f t="shared" si="22"/>
        <v>0</v>
      </c>
    </row>
    <row r="146" spans="2:8" ht="20.100000000000001" customHeight="1">
      <c r="B146" s="120" t="s">
        <v>836</v>
      </c>
      <c r="C146" s="120" t="s">
        <v>837</v>
      </c>
      <c r="D146" s="121">
        <v>0</v>
      </c>
      <c r="E146" s="121">
        <v>0</v>
      </c>
      <c r="F146" s="121">
        <v>0</v>
      </c>
      <c r="G146" s="121">
        <v>0</v>
      </c>
      <c r="H146" s="122">
        <f t="shared" si="22"/>
        <v>0</v>
      </c>
    </row>
    <row r="147" spans="2:8" ht="20.100000000000001" customHeight="1">
      <c r="B147" s="120" t="s">
        <v>737</v>
      </c>
      <c r="C147" s="120" t="s">
        <v>738</v>
      </c>
      <c r="D147" s="121">
        <v>0</v>
      </c>
      <c r="E147" s="121">
        <v>0</v>
      </c>
      <c r="F147" s="121">
        <v>0</v>
      </c>
      <c r="G147" s="121">
        <v>0</v>
      </c>
      <c r="H147" s="122">
        <f t="shared" ref="H147" si="39">G147+F147+E147+D147</f>
        <v>0</v>
      </c>
    </row>
    <row r="148" spans="2:8" ht="20.100000000000001" customHeight="1">
      <c r="B148" s="120" t="s">
        <v>737</v>
      </c>
      <c r="C148" s="120" t="s">
        <v>950</v>
      </c>
      <c r="D148" s="121">
        <v>0</v>
      </c>
      <c r="E148" s="121">
        <v>0</v>
      </c>
      <c r="F148" s="121">
        <v>0</v>
      </c>
      <c r="G148" s="121">
        <v>0</v>
      </c>
      <c r="H148" s="122">
        <f t="shared" ref="H148" si="40">G148+F148+E148+D148</f>
        <v>0</v>
      </c>
    </row>
    <row r="149" spans="2:8" ht="20.100000000000001" customHeight="1">
      <c r="B149" s="120" t="s">
        <v>557</v>
      </c>
      <c r="C149" s="120" t="s">
        <v>558</v>
      </c>
      <c r="D149" s="121">
        <v>0</v>
      </c>
      <c r="E149" s="121">
        <v>0</v>
      </c>
      <c r="F149" s="121">
        <v>0</v>
      </c>
      <c r="G149" s="121">
        <v>0</v>
      </c>
      <c r="H149" s="122">
        <f t="shared" si="22"/>
        <v>0</v>
      </c>
    </row>
    <row r="150" spans="2:8" ht="20.100000000000001" customHeight="1">
      <c r="B150" s="120" t="s">
        <v>557</v>
      </c>
      <c r="C150" s="120" t="s">
        <v>856</v>
      </c>
      <c r="D150" s="121">
        <v>0</v>
      </c>
      <c r="E150" s="121">
        <v>0</v>
      </c>
      <c r="F150" s="121">
        <v>0</v>
      </c>
      <c r="G150" s="121">
        <v>0</v>
      </c>
      <c r="H150" s="122">
        <f t="shared" ref="H150" si="41">G150+F150+E150+D150</f>
        <v>0</v>
      </c>
    </row>
    <row r="151" spans="2:8" ht="20.100000000000001" customHeight="1">
      <c r="B151" s="120" t="s">
        <v>559</v>
      </c>
      <c r="C151" s="120" t="s">
        <v>899</v>
      </c>
      <c r="D151" s="121">
        <v>0</v>
      </c>
      <c r="E151" s="121">
        <v>0</v>
      </c>
      <c r="F151" s="121">
        <v>0</v>
      </c>
      <c r="G151" s="121">
        <v>0</v>
      </c>
      <c r="H151" s="122">
        <f t="shared" si="22"/>
        <v>0</v>
      </c>
    </row>
    <row r="152" spans="2:8" ht="20.100000000000001" customHeight="1">
      <c r="B152" s="120" t="s">
        <v>559</v>
      </c>
      <c r="C152" s="120" t="s">
        <v>561</v>
      </c>
      <c r="D152" s="121">
        <v>0</v>
      </c>
      <c r="E152" s="121">
        <v>0</v>
      </c>
      <c r="F152" s="121">
        <v>0</v>
      </c>
      <c r="G152" s="121">
        <v>0</v>
      </c>
      <c r="H152" s="122">
        <f t="shared" si="22"/>
        <v>0</v>
      </c>
    </row>
    <row r="153" spans="2:8" ht="20.100000000000001" customHeight="1">
      <c r="B153" s="120" t="s">
        <v>347</v>
      </c>
      <c r="C153" s="120" t="s">
        <v>349</v>
      </c>
      <c r="D153" s="121">
        <v>0</v>
      </c>
      <c r="E153" s="121">
        <v>0</v>
      </c>
      <c r="F153" s="121">
        <v>0</v>
      </c>
      <c r="G153" s="121">
        <v>0</v>
      </c>
      <c r="H153" s="122">
        <f t="shared" ref="H153" si="42">G153+F153+E153+D153</f>
        <v>0</v>
      </c>
    </row>
    <row r="154" spans="2:8" ht="20.100000000000001" customHeight="1">
      <c r="B154" s="120" t="s">
        <v>347</v>
      </c>
      <c r="C154" s="120" t="s">
        <v>348</v>
      </c>
      <c r="D154" s="121">
        <v>0</v>
      </c>
      <c r="E154" s="121">
        <v>0</v>
      </c>
      <c r="F154" s="121">
        <v>0</v>
      </c>
      <c r="G154" s="121">
        <v>0</v>
      </c>
      <c r="H154" s="122">
        <f t="shared" si="22"/>
        <v>0</v>
      </c>
    </row>
    <row r="155" spans="2:8" ht="20.100000000000001" customHeight="1">
      <c r="B155" s="120" t="s">
        <v>895</v>
      </c>
      <c r="C155" s="120" t="s">
        <v>896</v>
      </c>
      <c r="D155" s="121">
        <v>0</v>
      </c>
      <c r="E155" s="121">
        <v>0</v>
      </c>
      <c r="F155" s="121">
        <v>0</v>
      </c>
      <c r="G155" s="121">
        <v>0</v>
      </c>
      <c r="H155" s="122">
        <f t="shared" si="22"/>
        <v>0</v>
      </c>
    </row>
    <row r="156" spans="2:8" ht="20.100000000000001" customHeight="1">
      <c r="B156" s="120" t="s">
        <v>897</v>
      </c>
      <c r="C156" s="120" t="s">
        <v>898</v>
      </c>
      <c r="D156" s="121">
        <v>0</v>
      </c>
      <c r="E156" s="121">
        <v>0</v>
      </c>
      <c r="F156" s="121">
        <v>0</v>
      </c>
      <c r="G156" s="121">
        <v>0</v>
      </c>
      <c r="H156" s="122">
        <f t="shared" ref="H156" si="43">G156+F156+E156+D156</f>
        <v>0</v>
      </c>
    </row>
    <row r="157" spans="2:8" ht="20.100000000000001" customHeight="1">
      <c r="B157" s="120" t="s">
        <v>951</v>
      </c>
      <c r="C157" s="120" t="s">
        <v>952</v>
      </c>
      <c r="D157" s="121">
        <v>0</v>
      </c>
      <c r="E157" s="121">
        <v>0</v>
      </c>
      <c r="F157" s="121">
        <v>0</v>
      </c>
      <c r="G157" s="121">
        <v>0</v>
      </c>
      <c r="H157" s="122">
        <f t="shared" ref="H157" si="44">G157+F157+E157+D157</f>
        <v>0</v>
      </c>
    </row>
    <row r="158" spans="2:8" ht="20.100000000000001" customHeight="1">
      <c r="B158" s="120" t="s">
        <v>215</v>
      </c>
      <c r="C158" s="120" t="s">
        <v>922</v>
      </c>
      <c r="D158" s="121">
        <v>0</v>
      </c>
      <c r="E158" s="121">
        <v>0</v>
      </c>
      <c r="F158" s="121">
        <v>0</v>
      </c>
      <c r="G158" s="121">
        <v>0</v>
      </c>
      <c r="H158" s="122">
        <f t="shared" si="22"/>
        <v>0</v>
      </c>
    </row>
    <row r="159" spans="2:8" ht="20.100000000000001" customHeight="1">
      <c r="B159" s="120" t="s">
        <v>350</v>
      </c>
      <c r="C159" s="120" t="s">
        <v>351</v>
      </c>
      <c r="D159" s="121">
        <v>0</v>
      </c>
      <c r="E159" s="121">
        <v>0</v>
      </c>
      <c r="F159" s="121">
        <v>0</v>
      </c>
      <c r="G159" s="121">
        <v>0</v>
      </c>
      <c r="H159" s="122">
        <f t="shared" si="22"/>
        <v>0</v>
      </c>
    </row>
    <row r="160" spans="2:8" ht="20.100000000000001" customHeight="1">
      <c r="B160" s="120" t="s">
        <v>350</v>
      </c>
      <c r="C160" s="120" t="s">
        <v>352</v>
      </c>
      <c r="D160" s="121">
        <v>0</v>
      </c>
      <c r="E160" s="121">
        <v>0</v>
      </c>
      <c r="F160" s="121">
        <v>0</v>
      </c>
      <c r="G160" s="121">
        <v>0</v>
      </c>
      <c r="H160" s="122">
        <f t="shared" si="22"/>
        <v>0</v>
      </c>
    </row>
    <row r="161" spans="2:8" ht="20.100000000000001" customHeight="1">
      <c r="B161" s="120" t="s">
        <v>353</v>
      </c>
      <c r="C161" s="120" t="s">
        <v>734</v>
      </c>
      <c r="D161" s="121">
        <v>0</v>
      </c>
      <c r="E161" s="121">
        <v>0</v>
      </c>
      <c r="F161" s="121">
        <v>0</v>
      </c>
      <c r="G161" s="121">
        <v>0</v>
      </c>
      <c r="H161" s="122">
        <f t="shared" si="22"/>
        <v>0</v>
      </c>
    </row>
    <row r="162" spans="2:8" ht="20.100000000000001" customHeight="1">
      <c r="B162" s="120" t="s">
        <v>735</v>
      </c>
      <c r="C162" s="120" t="s">
        <v>736</v>
      </c>
      <c r="D162" s="121">
        <v>0</v>
      </c>
      <c r="E162" s="121">
        <v>0</v>
      </c>
      <c r="F162" s="121">
        <v>0</v>
      </c>
      <c r="G162" s="121">
        <v>0</v>
      </c>
      <c r="H162" s="122">
        <f t="shared" ref="H162:H163" si="45">G162+F162+E162+D162</f>
        <v>0</v>
      </c>
    </row>
    <row r="163" spans="2:8" ht="20.100000000000001" customHeight="1">
      <c r="B163" s="120" t="s">
        <v>992</v>
      </c>
      <c r="C163" s="120" t="s">
        <v>993</v>
      </c>
      <c r="D163" s="121">
        <v>0</v>
      </c>
      <c r="E163" s="121">
        <v>0</v>
      </c>
      <c r="F163" s="121">
        <v>0</v>
      </c>
      <c r="G163" s="121">
        <v>0</v>
      </c>
      <c r="H163" s="122">
        <f t="shared" si="45"/>
        <v>0</v>
      </c>
    </row>
    <row r="164" spans="2:8" ht="20.100000000000001" customHeight="1">
      <c r="B164" s="120" t="s">
        <v>562</v>
      </c>
      <c r="C164" s="120" t="s">
        <v>563</v>
      </c>
      <c r="D164" s="121">
        <v>0</v>
      </c>
      <c r="E164" s="121">
        <v>0</v>
      </c>
      <c r="F164" s="121">
        <v>0</v>
      </c>
      <c r="G164" s="121">
        <v>0</v>
      </c>
      <c r="H164" s="122">
        <f t="shared" si="22"/>
        <v>0</v>
      </c>
    </row>
    <row r="165" spans="2:8" ht="20.100000000000001" customHeight="1">
      <c r="B165" s="120" t="s">
        <v>562</v>
      </c>
      <c r="C165" s="120" t="s">
        <v>564</v>
      </c>
      <c r="D165" s="121">
        <v>0</v>
      </c>
      <c r="E165" s="121">
        <v>0</v>
      </c>
      <c r="F165" s="121">
        <v>0</v>
      </c>
      <c r="G165" s="121">
        <v>0</v>
      </c>
      <c r="H165" s="122">
        <f t="shared" si="22"/>
        <v>0</v>
      </c>
    </row>
    <row r="166" spans="2:8" ht="20.100000000000001" customHeight="1">
      <c r="B166" s="120" t="s">
        <v>562</v>
      </c>
      <c r="C166" s="120" t="s">
        <v>819</v>
      </c>
      <c r="D166" s="121">
        <v>0</v>
      </c>
      <c r="E166" s="121">
        <v>0</v>
      </c>
      <c r="F166" s="121">
        <v>0</v>
      </c>
      <c r="G166" s="121">
        <v>0</v>
      </c>
      <c r="H166" s="122">
        <f t="shared" ref="H166" si="46">G166+F166+E166+D166</f>
        <v>0</v>
      </c>
    </row>
    <row r="167" spans="2:8" ht="20.100000000000001" customHeight="1">
      <c r="B167" s="120" t="s">
        <v>354</v>
      </c>
      <c r="C167" s="120" t="s">
        <v>355</v>
      </c>
      <c r="D167" s="121">
        <v>0</v>
      </c>
      <c r="E167" s="121">
        <v>0</v>
      </c>
      <c r="F167" s="121">
        <v>0</v>
      </c>
      <c r="G167" s="121">
        <v>0</v>
      </c>
      <c r="H167" s="122">
        <f t="shared" si="22"/>
        <v>0</v>
      </c>
    </row>
    <row r="168" spans="2:8" ht="20.100000000000001" customHeight="1">
      <c r="B168" s="120" t="s">
        <v>354</v>
      </c>
      <c r="C168" s="120" t="s">
        <v>923</v>
      </c>
      <c r="D168" s="121">
        <v>0</v>
      </c>
      <c r="E168" s="121">
        <v>0</v>
      </c>
      <c r="F168" s="121">
        <v>0</v>
      </c>
      <c r="G168" s="121">
        <v>0</v>
      </c>
      <c r="H168" s="122">
        <f t="shared" ref="H168" si="47">G168+F168+E168+D168</f>
        <v>0</v>
      </c>
    </row>
    <row r="169" spans="2:8" ht="20.100000000000001" customHeight="1">
      <c r="B169" s="120" t="s">
        <v>900</v>
      </c>
      <c r="C169" s="120" t="s">
        <v>901</v>
      </c>
      <c r="D169" s="121">
        <v>0</v>
      </c>
      <c r="E169" s="121">
        <v>0</v>
      </c>
      <c r="F169" s="121">
        <v>0</v>
      </c>
      <c r="G169" s="121">
        <v>0</v>
      </c>
      <c r="H169" s="122">
        <f t="shared" ref="H169" si="48">G169+F169+E169+D169</f>
        <v>0</v>
      </c>
    </row>
    <row r="170" spans="2:8" ht="20.100000000000001" customHeight="1">
      <c r="B170" s="120" t="s">
        <v>902</v>
      </c>
      <c r="C170" s="120" t="s">
        <v>903</v>
      </c>
      <c r="D170" s="121">
        <v>0</v>
      </c>
      <c r="E170" s="121">
        <v>0</v>
      </c>
      <c r="F170" s="121">
        <v>0</v>
      </c>
      <c r="G170" s="121">
        <v>0</v>
      </c>
      <c r="H170" s="122">
        <f t="shared" ref="H170:H171" si="49">G170+F170+E170+D170</f>
        <v>0</v>
      </c>
    </row>
    <row r="171" spans="2:8" ht="20.100000000000001" customHeight="1">
      <c r="B171" s="120" t="s">
        <v>999</v>
      </c>
      <c r="C171" s="120" t="s">
        <v>1000</v>
      </c>
      <c r="D171" s="121">
        <v>0</v>
      </c>
      <c r="E171" s="121">
        <v>0</v>
      </c>
      <c r="F171" s="121">
        <v>0</v>
      </c>
      <c r="G171" s="121">
        <v>0</v>
      </c>
      <c r="H171" s="122">
        <f t="shared" si="49"/>
        <v>0</v>
      </c>
    </row>
    <row r="172" spans="2:8" ht="20.100000000000001" customHeight="1">
      <c r="B172" s="120" t="s">
        <v>356</v>
      </c>
      <c r="C172" s="120" t="s">
        <v>357</v>
      </c>
      <c r="D172" s="121">
        <v>0</v>
      </c>
      <c r="E172" s="121">
        <v>0</v>
      </c>
      <c r="F172" s="121">
        <v>0</v>
      </c>
      <c r="G172" s="121">
        <v>0</v>
      </c>
      <c r="H172" s="122">
        <f t="shared" si="22"/>
        <v>0</v>
      </c>
    </row>
    <row r="173" spans="2:8" ht="20.100000000000001" customHeight="1">
      <c r="B173" s="120" t="s">
        <v>216</v>
      </c>
      <c r="C173" s="120" t="s">
        <v>217</v>
      </c>
      <c r="D173" s="121">
        <v>0</v>
      </c>
      <c r="E173" s="121">
        <v>0</v>
      </c>
      <c r="F173" s="121">
        <v>0</v>
      </c>
      <c r="G173" s="121">
        <v>0</v>
      </c>
      <c r="H173" s="122">
        <f t="shared" si="22"/>
        <v>0</v>
      </c>
    </row>
    <row r="174" spans="2:8" ht="15.75">
      <c r="B174" s="294" t="s">
        <v>17</v>
      </c>
      <c r="C174" s="295"/>
      <c r="D174" s="36">
        <f>SUM(D110:D173)</f>
        <v>0</v>
      </c>
      <c r="E174" s="36">
        <f>SUM(E110:E173)</f>
        <v>0</v>
      </c>
      <c r="F174" s="36">
        <f>SUM(F110:F173)</f>
        <v>0</v>
      </c>
      <c r="G174" s="36">
        <f>SUM(G110:G173)</f>
        <v>0</v>
      </c>
      <c r="H174" s="36">
        <f>SUM(H110:H173)</f>
        <v>0</v>
      </c>
    </row>
    <row r="175" spans="2:8" ht="16.5" thickBot="1">
      <c r="B175" s="15"/>
      <c r="C175" s="15"/>
      <c r="D175" s="16"/>
      <c r="E175" s="16"/>
      <c r="F175" s="16"/>
      <c r="G175" s="16"/>
      <c r="H175" s="16"/>
    </row>
    <row r="176" spans="2:8" ht="20.100000000000001" customHeight="1">
      <c r="B176" s="33" t="s">
        <v>18</v>
      </c>
      <c r="C176" s="34"/>
      <c r="D176" s="34"/>
      <c r="E176" s="34"/>
      <c r="F176" s="34"/>
      <c r="G176" s="34"/>
      <c r="H176" s="39"/>
    </row>
    <row r="177" spans="2:8" ht="20.100000000000001" customHeight="1">
      <c r="B177" s="117" t="s">
        <v>367</v>
      </c>
      <c r="C177" s="130" t="s">
        <v>366</v>
      </c>
      <c r="D177" s="118">
        <v>0</v>
      </c>
      <c r="E177" s="118">
        <v>0</v>
      </c>
      <c r="F177" s="118">
        <v>0</v>
      </c>
      <c r="G177" s="118">
        <v>0</v>
      </c>
      <c r="H177" s="119">
        <f t="shared" ref="H177:H254" si="50">G177+F177+E177+D177</f>
        <v>0</v>
      </c>
    </row>
    <row r="178" spans="2:8" ht="20.100000000000001" customHeight="1">
      <c r="B178" s="120" t="s">
        <v>230</v>
      </c>
      <c r="C178" s="129" t="s">
        <v>231</v>
      </c>
      <c r="D178" s="121">
        <v>0</v>
      </c>
      <c r="E178" s="121">
        <v>0</v>
      </c>
      <c r="F178" s="121">
        <v>0</v>
      </c>
      <c r="G178" s="121">
        <v>0</v>
      </c>
      <c r="H178" s="122">
        <f t="shared" si="50"/>
        <v>0</v>
      </c>
    </row>
    <row r="179" spans="2:8" ht="20.100000000000001" customHeight="1">
      <c r="B179" s="120" t="s">
        <v>370</v>
      </c>
      <c r="C179" s="129" t="s">
        <v>371</v>
      </c>
      <c r="D179" s="121">
        <v>0</v>
      </c>
      <c r="E179" s="121">
        <v>0</v>
      </c>
      <c r="F179" s="121">
        <v>0</v>
      </c>
      <c r="G179" s="121">
        <v>0</v>
      </c>
      <c r="H179" s="122">
        <f t="shared" ref="H179" si="51">G179+F179+E179+D179</f>
        <v>0</v>
      </c>
    </row>
    <row r="180" spans="2:8" ht="20.100000000000001" customHeight="1">
      <c r="B180" s="120" t="s">
        <v>232</v>
      </c>
      <c r="C180" s="129" t="s">
        <v>233</v>
      </c>
      <c r="D180" s="121">
        <v>0</v>
      </c>
      <c r="E180" s="121">
        <v>0</v>
      </c>
      <c r="F180" s="121">
        <v>0</v>
      </c>
      <c r="G180" s="121">
        <v>0</v>
      </c>
      <c r="H180" s="122">
        <f t="shared" si="50"/>
        <v>0</v>
      </c>
    </row>
    <row r="181" spans="2:8" ht="20.100000000000001" customHeight="1">
      <c r="B181" s="120" t="s">
        <v>591</v>
      </c>
      <c r="C181" s="129" t="s">
        <v>592</v>
      </c>
      <c r="D181" s="121">
        <v>0</v>
      </c>
      <c r="E181" s="121">
        <v>0</v>
      </c>
      <c r="F181" s="121">
        <v>0</v>
      </c>
      <c r="G181" s="121">
        <v>0</v>
      </c>
      <c r="H181" s="122">
        <f t="shared" si="50"/>
        <v>0</v>
      </c>
    </row>
    <row r="182" spans="2:8" ht="20.100000000000001" customHeight="1">
      <c r="B182" s="120" t="s">
        <v>364</v>
      </c>
      <c r="C182" s="129" t="s">
        <v>365</v>
      </c>
      <c r="D182" s="121">
        <v>0</v>
      </c>
      <c r="E182" s="121">
        <v>0</v>
      </c>
      <c r="F182" s="121">
        <v>0</v>
      </c>
      <c r="G182" s="121">
        <v>0</v>
      </c>
      <c r="H182" s="122">
        <f t="shared" si="50"/>
        <v>0</v>
      </c>
    </row>
    <row r="183" spans="2:8" ht="20.100000000000001" customHeight="1">
      <c r="B183" s="120" t="s">
        <v>226</v>
      </c>
      <c r="C183" s="129" t="s">
        <v>227</v>
      </c>
      <c r="D183" s="121">
        <v>0</v>
      </c>
      <c r="E183" s="121">
        <v>0</v>
      </c>
      <c r="F183" s="121">
        <v>0</v>
      </c>
      <c r="G183" s="121">
        <v>0</v>
      </c>
      <c r="H183" s="122">
        <f t="shared" si="50"/>
        <v>0</v>
      </c>
    </row>
    <row r="184" spans="2:8" ht="20.100000000000001" customHeight="1">
      <c r="B184" s="123" t="s">
        <v>228</v>
      </c>
      <c r="C184" s="131" t="s">
        <v>229</v>
      </c>
      <c r="D184" s="124">
        <v>0</v>
      </c>
      <c r="E184" s="124">
        <v>0</v>
      </c>
      <c r="F184" s="124">
        <v>0</v>
      </c>
      <c r="G184" s="124">
        <v>0</v>
      </c>
      <c r="H184" s="125">
        <f t="shared" si="50"/>
        <v>0</v>
      </c>
    </row>
    <row r="185" spans="2:8" ht="20.100000000000001" customHeight="1">
      <c r="B185" s="120" t="s">
        <v>368</v>
      </c>
      <c r="C185" s="129" t="s">
        <v>369</v>
      </c>
      <c r="D185" s="121">
        <v>0</v>
      </c>
      <c r="E185" s="121">
        <v>0</v>
      </c>
      <c r="F185" s="121">
        <v>0</v>
      </c>
      <c r="G185" s="121">
        <v>0</v>
      </c>
      <c r="H185" s="122">
        <f t="shared" si="50"/>
        <v>0</v>
      </c>
    </row>
    <row r="186" spans="2:8" ht="20.100000000000001" customHeight="1">
      <c r="B186" s="120" t="s">
        <v>370</v>
      </c>
      <c r="C186" s="129" t="s">
        <v>371</v>
      </c>
      <c r="D186" s="121">
        <v>0</v>
      </c>
      <c r="E186" s="121">
        <v>0</v>
      </c>
      <c r="F186" s="121">
        <v>0</v>
      </c>
      <c r="G186" s="121">
        <v>0</v>
      </c>
      <c r="H186" s="122">
        <f t="shared" si="50"/>
        <v>0</v>
      </c>
    </row>
    <row r="187" spans="2:8" ht="20.100000000000001" customHeight="1">
      <c r="B187" s="120" t="s">
        <v>372</v>
      </c>
      <c r="C187" s="129" t="s">
        <v>374</v>
      </c>
      <c r="D187" s="121">
        <v>0</v>
      </c>
      <c r="E187" s="121">
        <v>0</v>
      </c>
      <c r="F187" s="121">
        <v>0</v>
      </c>
      <c r="G187" s="121">
        <v>0</v>
      </c>
      <c r="H187" s="122">
        <f t="shared" si="50"/>
        <v>0</v>
      </c>
    </row>
    <row r="188" spans="2:8" ht="20.100000000000001" customHeight="1">
      <c r="B188" s="120" t="s">
        <v>372</v>
      </c>
      <c r="C188" s="129" t="s">
        <v>373</v>
      </c>
      <c r="D188" s="121">
        <v>0</v>
      </c>
      <c r="E188" s="121">
        <v>0</v>
      </c>
      <c r="F188" s="121">
        <v>0</v>
      </c>
      <c r="G188" s="121">
        <v>0</v>
      </c>
      <c r="H188" s="122">
        <f t="shared" si="50"/>
        <v>0</v>
      </c>
    </row>
    <row r="189" spans="2:8" ht="20.100000000000001" customHeight="1">
      <c r="B189" s="120" t="s">
        <v>375</v>
      </c>
      <c r="C189" s="129" t="s">
        <v>376</v>
      </c>
      <c r="D189" s="121">
        <v>0</v>
      </c>
      <c r="E189" s="121">
        <v>0</v>
      </c>
      <c r="F189" s="121">
        <v>0</v>
      </c>
      <c r="G189" s="121">
        <v>0</v>
      </c>
      <c r="H189" s="122">
        <f t="shared" si="50"/>
        <v>0</v>
      </c>
    </row>
    <row r="190" spans="2:8" ht="20.100000000000001" customHeight="1">
      <c r="B190" s="120" t="s">
        <v>1006</v>
      </c>
      <c r="C190" s="129" t="s">
        <v>1007</v>
      </c>
      <c r="D190" s="121">
        <v>0</v>
      </c>
      <c r="E190" s="121">
        <v>0</v>
      </c>
      <c r="F190" s="121">
        <v>0</v>
      </c>
      <c r="G190" s="121">
        <v>0</v>
      </c>
      <c r="H190" s="122">
        <f t="shared" si="50"/>
        <v>0</v>
      </c>
    </row>
    <row r="191" spans="2:8" ht="20.100000000000001" customHeight="1">
      <c r="B191" s="120" t="s">
        <v>755</v>
      </c>
      <c r="C191" s="129" t="s">
        <v>756</v>
      </c>
      <c r="D191" s="121">
        <v>0</v>
      </c>
      <c r="E191" s="121">
        <v>0</v>
      </c>
      <c r="F191" s="121">
        <v>0</v>
      </c>
      <c r="G191" s="121">
        <v>0</v>
      </c>
      <c r="H191" s="122">
        <f t="shared" ref="H191:H192" si="52">G191+F191+E191+D191</f>
        <v>0</v>
      </c>
    </row>
    <row r="192" spans="2:8" ht="20.100000000000001" customHeight="1">
      <c r="B192" s="120" t="s">
        <v>817</v>
      </c>
      <c r="C192" s="129" t="s">
        <v>818</v>
      </c>
      <c r="D192" s="121">
        <v>0</v>
      </c>
      <c r="E192" s="121">
        <v>0</v>
      </c>
      <c r="F192" s="121">
        <v>0</v>
      </c>
      <c r="G192" s="121">
        <v>0</v>
      </c>
      <c r="H192" s="122">
        <f t="shared" si="52"/>
        <v>0</v>
      </c>
    </row>
    <row r="193" spans="2:8" ht="20.100000000000001" customHeight="1">
      <c r="B193" s="120" t="s">
        <v>817</v>
      </c>
      <c r="C193" s="129" t="s">
        <v>927</v>
      </c>
      <c r="D193" s="121">
        <v>0</v>
      </c>
      <c r="E193" s="121">
        <v>0</v>
      </c>
      <c r="F193" s="121">
        <v>0</v>
      </c>
      <c r="G193" s="121">
        <v>0</v>
      </c>
      <c r="H193" s="122">
        <f t="shared" ref="H193" si="53">G193+F193+E193+D193</f>
        <v>0</v>
      </c>
    </row>
    <row r="194" spans="2:8" ht="20.100000000000001" customHeight="1">
      <c r="B194" s="120" t="s">
        <v>928</v>
      </c>
      <c r="C194" s="129" t="s">
        <v>929</v>
      </c>
      <c r="D194" s="121">
        <v>0</v>
      </c>
      <c r="E194" s="121">
        <v>0</v>
      </c>
      <c r="F194" s="121">
        <v>0</v>
      </c>
      <c r="G194" s="121">
        <v>0</v>
      </c>
      <c r="H194" s="122">
        <f t="shared" ref="H194" si="54">G194+F194+E194+D194</f>
        <v>0</v>
      </c>
    </row>
    <row r="195" spans="2:8" ht="20.100000000000001" customHeight="1">
      <c r="B195" s="120" t="s">
        <v>928</v>
      </c>
      <c r="C195" s="129" t="s">
        <v>929</v>
      </c>
      <c r="D195" s="121">
        <v>0</v>
      </c>
      <c r="E195" s="121">
        <v>0</v>
      </c>
      <c r="F195" s="121">
        <v>0</v>
      </c>
      <c r="G195" s="121">
        <v>0</v>
      </c>
      <c r="H195" s="122">
        <f t="shared" ref="H195" si="55">G195+F195+E195+D195</f>
        <v>0</v>
      </c>
    </row>
    <row r="196" spans="2:8" ht="20.100000000000001" customHeight="1">
      <c r="B196" s="120" t="s">
        <v>964</v>
      </c>
      <c r="C196" s="129" t="s">
        <v>965</v>
      </c>
      <c r="D196" s="121">
        <v>0</v>
      </c>
      <c r="E196" s="121">
        <v>0</v>
      </c>
      <c r="F196" s="121">
        <v>0</v>
      </c>
      <c r="G196" s="121">
        <v>0</v>
      </c>
      <c r="H196" s="122">
        <f t="shared" ref="H196" si="56">G196+F196+E196+D196</f>
        <v>0</v>
      </c>
    </row>
    <row r="197" spans="2:8" ht="20.100000000000001" customHeight="1">
      <c r="B197" s="120" t="s">
        <v>964</v>
      </c>
      <c r="C197" s="129" t="s">
        <v>966</v>
      </c>
      <c r="D197" s="121">
        <v>0</v>
      </c>
      <c r="E197" s="121">
        <v>0</v>
      </c>
      <c r="F197" s="121">
        <v>0</v>
      </c>
      <c r="G197" s="121">
        <v>0</v>
      </c>
      <c r="H197" s="122">
        <f t="shared" ref="H197" si="57">G197+F197+E197+D197</f>
        <v>0</v>
      </c>
    </row>
    <row r="198" spans="2:8" ht="20.100000000000001" customHeight="1">
      <c r="B198" s="120" t="s">
        <v>275</v>
      </c>
      <c r="C198" s="129" t="s">
        <v>276</v>
      </c>
      <c r="D198" s="121">
        <v>0</v>
      </c>
      <c r="E198" s="121">
        <v>0</v>
      </c>
      <c r="F198" s="121">
        <v>0</v>
      </c>
      <c r="G198" s="121">
        <v>0</v>
      </c>
      <c r="H198" s="122">
        <f>G198+F198+E198+D198</f>
        <v>0</v>
      </c>
    </row>
    <row r="199" spans="2:8" ht="20.100000000000001" customHeight="1">
      <c r="B199" s="120" t="s">
        <v>248</v>
      </c>
      <c r="C199" s="129" t="s">
        <v>249</v>
      </c>
      <c r="D199" s="121">
        <v>0</v>
      </c>
      <c r="E199" s="121">
        <v>0</v>
      </c>
      <c r="F199" s="121">
        <v>0</v>
      </c>
      <c r="G199" s="121">
        <v>0</v>
      </c>
      <c r="H199" s="122">
        <f t="shared" si="50"/>
        <v>0</v>
      </c>
    </row>
    <row r="200" spans="2:8" ht="20.100000000000001" customHeight="1">
      <c r="B200" s="120" t="s">
        <v>250</v>
      </c>
      <c r="C200" s="129" t="s">
        <v>251</v>
      </c>
      <c r="D200" s="121">
        <v>0</v>
      </c>
      <c r="E200" s="121">
        <v>0</v>
      </c>
      <c r="F200" s="121">
        <v>0</v>
      </c>
      <c r="G200" s="121">
        <v>0</v>
      </c>
      <c r="H200" s="122">
        <f t="shared" si="50"/>
        <v>0</v>
      </c>
    </row>
    <row r="201" spans="2:8" ht="20.100000000000001" customHeight="1">
      <c r="B201" s="120" t="s">
        <v>252</v>
      </c>
      <c r="C201" s="129" t="s">
        <v>253</v>
      </c>
      <c r="D201" s="121">
        <v>0</v>
      </c>
      <c r="E201" s="121">
        <v>0</v>
      </c>
      <c r="F201" s="121">
        <v>0</v>
      </c>
      <c r="G201" s="121">
        <v>0</v>
      </c>
      <c r="H201" s="122">
        <f t="shared" si="50"/>
        <v>0</v>
      </c>
    </row>
    <row r="202" spans="2:8" ht="20.100000000000001" customHeight="1">
      <c r="B202" s="120" t="s">
        <v>597</v>
      </c>
      <c r="C202" s="129" t="s">
        <v>598</v>
      </c>
      <c r="D202" s="121">
        <v>0</v>
      </c>
      <c r="E202" s="121">
        <v>0</v>
      </c>
      <c r="F202" s="121">
        <v>0</v>
      </c>
      <c r="G202" s="121">
        <v>0</v>
      </c>
      <c r="H202" s="122">
        <f t="shared" si="50"/>
        <v>0</v>
      </c>
    </row>
    <row r="203" spans="2:8" ht="20.100000000000001" customHeight="1">
      <c r="B203" s="120" t="s">
        <v>595</v>
      </c>
      <c r="C203" s="129" t="s">
        <v>596</v>
      </c>
      <c r="D203" s="121">
        <v>0</v>
      </c>
      <c r="E203" s="121">
        <v>0</v>
      </c>
      <c r="F203" s="121">
        <v>0</v>
      </c>
      <c r="G203" s="121">
        <v>0</v>
      </c>
      <c r="H203" s="122">
        <f t="shared" si="50"/>
        <v>0</v>
      </c>
    </row>
    <row r="204" spans="2:8" ht="20.100000000000001" customHeight="1">
      <c r="B204" s="120" t="s">
        <v>379</v>
      </c>
      <c r="C204" s="129" t="s">
        <v>380</v>
      </c>
      <c r="D204" s="121">
        <v>0</v>
      </c>
      <c r="E204" s="121">
        <v>0</v>
      </c>
      <c r="F204" s="121">
        <v>0</v>
      </c>
      <c r="G204" s="121">
        <v>0</v>
      </c>
      <c r="H204" s="122">
        <f t="shared" si="50"/>
        <v>0</v>
      </c>
    </row>
    <row r="205" spans="2:8" ht="20.100000000000001" customHeight="1">
      <c r="B205" s="120" t="s">
        <v>381</v>
      </c>
      <c r="C205" s="129" t="s">
        <v>382</v>
      </c>
      <c r="D205" s="121">
        <v>0</v>
      </c>
      <c r="E205" s="121">
        <v>0</v>
      </c>
      <c r="F205" s="121">
        <v>0</v>
      </c>
      <c r="G205" s="121">
        <v>0</v>
      </c>
      <c r="H205" s="122">
        <f t="shared" si="50"/>
        <v>0</v>
      </c>
    </row>
    <row r="206" spans="2:8" ht="20.100000000000001" customHeight="1">
      <c r="B206" s="120" t="s">
        <v>383</v>
      </c>
      <c r="C206" s="129" t="s">
        <v>384</v>
      </c>
      <c r="D206" s="121">
        <v>0</v>
      </c>
      <c r="E206" s="121">
        <v>0</v>
      </c>
      <c r="F206" s="121">
        <v>0</v>
      </c>
      <c r="G206" s="121">
        <v>0</v>
      </c>
      <c r="H206" s="122">
        <f t="shared" si="50"/>
        <v>0</v>
      </c>
    </row>
    <row r="207" spans="2:8" ht="20.100000000000001" customHeight="1">
      <c r="B207" s="120" t="s">
        <v>385</v>
      </c>
      <c r="C207" s="129" t="s">
        <v>386</v>
      </c>
      <c r="D207" s="121">
        <v>0</v>
      </c>
      <c r="E207" s="121">
        <v>0</v>
      </c>
      <c r="F207" s="121">
        <v>0</v>
      </c>
      <c r="G207" s="121">
        <v>0</v>
      </c>
      <c r="H207" s="122">
        <f t="shared" si="50"/>
        <v>0</v>
      </c>
    </row>
    <row r="208" spans="2:8" ht="20.100000000000001" customHeight="1">
      <c r="B208" s="120" t="s">
        <v>385</v>
      </c>
      <c r="C208" s="129" t="s">
        <v>859</v>
      </c>
      <c r="D208" s="121">
        <v>0</v>
      </c>
      <c r="E208" s="121">
        <v>0</v>
      </c>
      <c r="F208" s="121">
        <v>0</v>
      </c>
      <c r="G208" s="121">
        <v>0</v>
      </c>
      <c r="H208" s="122">
        <f t="shared" ref="H208" si="58">G208+F208+E208+D208</f>
        <v>0</v>
      </c>
    </row>
    <row r="209" spans="2:8" ht="20.100000000000001" customHeight="1">
      <c r="B209" s="120" t="s">
        <v>387</v>
      </c>
      <c r="C209" s="129" t="s">
        <v>388</v>
      </c>
      <c r="D209" s="121">
        <v>0</v>
      </c>
      <c r="E209" s="121">
        <v>0</v>
      </c>
      <c r="F209" s="121">
        <v>0</v>
      </c>
      <c r="G209" s="121">
        <v>0</v>
      </c>
      <c r="H209" s="122">
        <f t="shared" si="50"/>
        <v>0</v>
      </c>
    </row>
    <row r="210" spans="2:8" ht="20.100000000000001" customHeight="1">
      <c r="B210" s="120" t="s">
        <v>599</v>
      </c>
      <c r="C210" s="129" t="s">
        <v>600</v>
      </c>
      <c r="D210" s="121">
        <v>0</v>
      </c>
      <c r="E210" s="121">
        <v>0</v>
      </c>
      <c r="F210" s="121">
        <v>0</v>
      </c>
      <c r="G210" s="121">
        <v>0</v>
      </c>
      <c r="H210" s="122">
        <f t="shared" si="50"/>
        <v>0</v>
      </c>
    </row>
    <row r="211" spans="2:8" ht="20.100000000000001" customHeight="1">
      <c r="B211" s="120" t="s">
        <v>389</v>
      </c>
      <c r="C211" s="129" t="s">
        <v>390</v>
      </c>
      <c r="D211" s="121">
        <v>0</v>
      </c>
      <c r="E211" s="121">
        <v>0</v>
      </c>
      <c r="F211" s="121">
        <v>0</v>
      </c>
      <c r="G211" s="121">
        <v>0</v>
      </c>
      <c r="H211" s="122">
        <f t="shared" si="50"/>
        <v>0</v>
      </c>
    </row>
    <row r="212" spans="2:8" ht="20.100000000000001" customHeight="1">
      <c r="B212" s="120" t="s">
        <v>601</v>
      </c>
      <c r="C212" s="129" t="s">
        <v>602</v>
      </c>
      <c r="D212" s="121">
        <v>0</v>
      </c>
      <c r="E212" s="121">
        <v>0</v>
      </c>
      <c r="F212" s="121">
        <v>0</v>
      </c>
      <c r="G212" s="121">
        <v>0</v>
      </c>
      <c r="H212" s="122">
        <f t="shared" si="50"/>
        <v>0</v>
      </c>
    </row>
    <row r="213" spans="2:8" ht="20.100000000000001" customHeight="1">
      <c r="B213" s="120" t="s">
        <v>954</v>
      </c>
      <c r="C213" s="129" t="s">
        <v>955</v>
      </c>
      <c r="D213" s="121">
        <v>0</v>
      </c>
      <c r="E213" s="121">
        <v>0</v>
      </c>
      <c r="F213" s="121">
        <v>0</v>
      </c>
      <c r="G213" s="121">
        <v>0</v>
      </c>
      <c r="H213" s="122">
        <f t="shared" ref="H213" si="59">G213+F213+E213+D213</f>
        <v>0</v>
      </c>
    </row>
    <row r="214" spans="2:8" ht="20.100000000000001" customHeight="1">
      <c r="B214" s="120" t="s">
        <v>151</v>
      </c>
      <c r="C214" s="129" t="s">
        <v>19</v>
      </c>
      <c r="D214" s="121">
        <v>0</v>
      </c>
      <c r="E214" s="121">
        <v>0</v>
      </c>
      <c r="F214" s="121">
        <v>0</v>
      </c>
      <c r="G214" s="121">
        <v>0</v>
      </c>
      <c r="H214" s="122">
        <f t="shared" si="50"/>
        <v>0</v>
      </c>
    </row>
    <row r="215" spans="2:8" ht="20.100000000000001" customHeight="1">
      <c r="B215" s="120" t="s">
        <v>583</v>
      </c>
      <c r="C215" s="129" t="s">
        <v>585</v>
      </c>
      <c r="D215" s="121">
        <v>0</v>
      </c>
      <c r="E215" s="121">
        <v>0</v>
      </c>
      <c r="F215" s="121">
        <v>0</v>
      </c>
      <c r="G215" s="121">
        <v>0</v>
      </c>
      <c r="H215" s="122">
        <f t="shared" si="50"/>
        <v>0</v>
      </c>
    </row>
    <row r="216" spans="2:8" ht="20.100000000000001" customHeight="1">
      <c r="B216" s="120" t="s">
        <v>584</v>
      </c>
      <c r="C216" s="129" t="s">
        <v>586</v>
      </c>
      <c r="D216" s="121">
        <v>0</v>
      </c>
      <c r="E216" s="121">
        <v>0</v>
      </c>
      <c r="F216" s="121">
        <v>0</v>
      </c>
      <c r="G216" s="121">
        <v>0</v>
      </c>
      <c r="H216" s="122">
        <f t="shared" si="50"/>
        <v>0</v>
      </c>
    </row>
    <row r="217" spans="2:8" ht="20.100000000000001" customHeight="1">
      <c r="B217" s="120" t="s">
        <v>587</v>
      </c>
      <c r="C217" s="129" t="s">
        <v>588</v>
      </c>
      <c r="D217" s="121">
        <v>0</v>
      </c>
      <c r="E217" s="121">
        <v>0</v>
      </c>
      <c r="F217" s="121">
        <v>0</v>
      </c>
      <c r="G217" s="121">
        <v>0</v>
      </c>
      <c r="H217" s="122">
        <f t="shared" si="50"/>
        <v>0</v>
      </c>
    </row>
    <row r="218" spans="2:8" ht="20.100000000000001" customHeight="1">
      <c r="B218" s="120" t="s">
        <v>589</v>
      </c>
      <c r="C218" s="129" t="s">
        <v>590</v>
      </c>
      <c r="D218" s="121">
        <v>0</v>
      </c>
      <c r="E218" s="121">
        <v>0</v>
      </c>
      <c r="F218" s="121">
        <v>0</v>
      </c>
      <c r="G218" s="121">
        <v>0</v>
      </c>
      <c r="H218" s="122">
        <f t="shared" si="50"/>
        <v>0</v>
      </c>
    </row>
    <row r="219" spans="2:8" ht="20.100000000000001" customHeight="1">
      <c r="B219" s="120" t="s">
        <v>662</v>
      </c>
      <c r="C219" s="129" t="s">
        <v>663</v>
      </c>
      <c r="D219" s="121">
        <v>0</v>
      </c>
      <c r="E219" s="121">
        <v>0</v>
      </c>
      <c r="F219" s="121">
        <v>0</v>
      </c>
      <c r="G219" s="121">
        <v>0</v>
      </c>
      <c r="H219" s="122">
        <f t="shared" si="50"/>
        <v>0</v>
      </c>
    </row>
    <row r="220" spans="2:8" ht="20.100000000000001" customHeight="1">
      <c r="B220" s="120" t="s">
        <v>664</v>
      </c>
      <c r="C220" s="129" t="s">
        <v>665</v>
      </c>
      <c r="D220" s="121">
        <v>0</v>
      </c>
      <c r="E220" s="121">
        <v>0</v>
      </c>
      <c r="F220" s="121">
        <v>0</v>
      </c>
      <c r="G220" s="121">
        <v>0</v>
      </c>
      <c r="H220" s="122">
        <f t="shared" si="50"/>
        <v>0</v>
      </c>
    </row>
    <row r="221" spans="2:8" ht="20.100000000000001" customHeight="1">
      <c r="B221" s="120" t="s">
        <v>666</v>
      </c>
      <c r="C221" s="129" t="s">
        <v>667</v>
      </c>
      <c r="D221" s="121">
        <v>0</v>
      </c>
      <c r="E221" s="121">
        <v>0</v>
      </c>
      <c r="F221" s="121">
        <v>0</v>
      </c>
      <c r="G221" s="121">
        <v>0</v>
      </c>
      <c r="H221" s="122">
        <f t="shared" si="50"/>
        <v>0</v>
      </c>
    </row>
    <row r="222" spans="2:8" ht="20.100000000000001" customHeight="1">
      <c r="B222" s="120" t="s">
        <v>300</v>
      </c>
      <c r="C222" s="129" t="s">
        <v>302</v>
      </c>
      <c r="D222" s="121">
        <v>0</v>
      </c>
      <c r="E222" s="121">
        <v>0</v>
      </c>
      <c r="F222" s="121">
        <v>0</v>
      </c>
      <c r="G222" s="121">
        <v>0</v>
      </c>
      <c r="H222" s="122">
        <f t="shared" si="50"/>
        <v>0</v>
      </c>
    </row>
    <row r="223" spans="2:8" ht="20.100000000000001" customHeight="1">
      <c r="B223" s="120" t="s">
        <v>668</v>
      </c>
      <c r="C223" s="129" t="s">
        <v>669</v>
      </c>
      <c r="D223" s="121">
        <v>0</v>
      </c>
      <c r="E223" s="121">
        <v>0</v>
      </c>
      <c r="F223" s="121">
        <v>0</v>
      </c>
      <c r="G223" s="121">
        <v>0</v>
      </c>
      <c r="H223" s="122">
        <f t="shared" si="50"/>
        <v>0</v>
      </c>
    </row>
    <row r="224" spans="2:8" ht="20.100000000000001" customHeight="1">
      <c r="B224" s="120" t="s">
        <v>301</v>
      </c>
      <c r="C224" s="129" t="s">
        <v>303</v>
      </c>
      <c r="D224" s="121">
        <v>0</v>
      </c>
      <c r="E224" s="121">
        <v>0</v>
      </c>
      <c r="F224" s="121">
        <v>0</v>
      </c>
      <c r="G224" s="121">
        <v>0</v>
      </c>
      <c r="H224" s="122">
        <f t="shared" si="50"/>
        <v>0</v>
      </c>
    </row>
    <row r="225" spans="2:8" ht="20.100000000000001" customHeight="1">
      <c r="B225" s="120" t="s">
        <v>670</v>
      </c>
      <c r="C225" s="129" t="s">
        <v>671</v>
      </c>
      <c r="D225" s="121">
        <v>0</v>
      </c>
      <c r="E225" s="121">
        <v>0</v>
      </c>
      <c r="F225" s="121">
        <v>0</v>
      </c>
      <c r="G225" s="121">
        <v>0</v>
      </c>
      <c r="H225" s="122">
        <f t="shared" si="50"/>
        <v>0</v>
      </c>
    </row>
    <row r="226" spans="2:8" ht="20.100000000000001" customHeight="1">
      <c r="B226" s="120" t="s">
        <v>481</v>
      </c>
      <c r="C226" s="129" t="s">
        <v>482</v>
      </c>
      <c r="D226" s="121">
        <v>0</v>
      </c>
      <c r="E226" s="121">
        <v>0</v>
      </c>
      <c r="F226" s="121">
        <v>0</v>
      </c>
      <c r="G226" s="121">
        <v>0</v>
      </c>
      <c r="H226" s="122">
        <f t="shared" si="50"/>
        <v>0</v>
      </c>
    </row>
    <row r="227" spans="2:8" ht="20.100000000000001" customHeight="1">
      <c r="B227" s="120" t="s">
        <v>672</v>
      </c>
      <c r="C227" s="129" t="s">
        <v>909</v>
      </c>
      <c r="D227" s="121">
        <v>0</v>
      </c>
      <c r="E227" s="121">
        <v>0</v>
      </c>
      <c r="F227" s="121">
        <v>0</v>
      </c>
      <c r="G227" s="121">
        <v>0</v>
      </c>
      <c r="H227" s="122">
        <f t="shared" si="50"/>
        <v>0</v>
      </c>
    </row>
    <row r="228" spans="2:8" ht="20.100000000000001" customHeight="1">
      <c r="B228" s="120" t="s">
        <v>803</v>
      </c>
      <c r="C228" s="129" t="s">
        <v>730</v>
      </c>
      <c r="D228" s="121">
        <v>0</v>
      </c>
      <c r="E228" s="121">
        <v>0</v>
      </c>
      <c r="F228" s="121">
        <v>0</v>
      </c>
      <c r="G228" s="121">
        <v>0</v>
      </c>
      <c r="H228" s="122">
        <f t="shared" ref="H228:H231" si="60">G228+F228+E228+D228</f>
        <v>0</v>
      </c>
    </row>
    <row r="229" spans="2:8" ht="20.100000000000001" customHeight="1">
      <c r="B229" s="120" t="s">
        <v>1056</v>
      </c>
      <c r="C229" s="129" t="s">
        <v>1057</v>
      </c>
      <c r="D229" s="121">
        <v>0</v>
      </c>
      <c r="E229" s="121">
        <v>0</v>
      </c>
      <c r="F229" s="121">
        <v>0</v>
      </c>
      <c r="G229" s="121">
        <v>0</v>
      </c>
      <c r="H229" s="122">
        <f t="shared" si="60"/>
        <v>0</v>
      </c>
    </row>
    <row r="230" spans="2:8" ht="20.100000000000001" customHeight="1">
      <c r="B230" s="120" t="s">
        <v>220</v>
      </c>
      <c r="C230" s="129" t="s">
        <v>1058</v>
      </c>
      <c r="D230" s="121">
        <v>0</v>
      </c>
      <c r="E230" s="121">
        <v>0</v>
      </c>
      <c r="F230" s="121">
        <v>0</v>
      </c>
      <c r="G230" s="121">
        <v>0</v>
      </c>
      <c r="H230" s="122">
        <f t="shared" ref="H230" si="61">G230+F230+E230+D230</f>
        <v>0</v>
      </c>
    </row>
    <row r="231" spans="2:8" ht="20.100000000000001" customHeight="1">
      <c r="B231" s="120" t="s">
        <v>701</v>
      </c>
      <c r="C231" s="129" t="s">
        <v>702</v>
      </c>
      <c r="D231" s="121">
        <v>0</v>
      </c>
      <c r="E231" s="121">
        <v>0</v>
      </c>
      <c r="F231" s="121">
        <v>0</v>
      </c>
      <c r="G231" s="121">
        <v>0</v>
      </c>
      <c r="H231" s="122">
        <f t="shared" si="60"/>
        <v>0</v>
      </c>
    </row>
    <row r="232" spans="2:8" ht="20.100000000000001" customHeight="1">
      <c r="B232" s="120" t="s">
        <v>579</v>
      </c>
      <c r="C232" s="129" t="s">
        <v>580</v>
      </c>
      <c r="D232" s="121">
        <v>0</v>
      </c>
      <c r="E232" s="121">
        <v>0</v>
      </c>
      <c r="F232" s="121">
        <v>0</v>
      </c>
      <c r="G232" s="121">
        <v>0</v>
      </c>
      <c r="H232" s="122">
        <f t="shared" si="50"/>
        <v>0</v>
      </c>
    </row>
    <row r="233" spans="2:8" ht="20.100000000000001" customHeight="1">
      <c r="B233" s="120" t="s">
        <v>360</v>
      </c>
      <c r="C233" s="129" t="s">
        <v>361</v>
      </c>
      <c r="D233" s="121">
        <v>0</v>
      </c>
      <c r="E233" s="121">
        <v>0</v>
      </c>
      <c r="F233" s="121">
        <v>0</v>
      </c>
      <c r="G233" s="121">
        <v>0</v>
      </c>
      <c r="H233" s="122">
        <f t="shared" si="50"/>
        <v>0</v>
      </c>
    </row>
    <row r="234" spans="2:8" ht="20.100000000000001" customHeight="1">
      <c r="B234" s="120" t="s">
        <v>581</v>
      </c>
      <c r="C234" s="129" t="s">
        <v>582</v>
      </c>
      <c r="D234" s="121">
        <v>0</v>
      </c>
      <c r="E234" s="121">
        <v>0</v>
      </c>
      <c r="F234" s="121">
        <v>0</v>
      </c>
      <c r="G234" s="121">
        <v>0</v>
      </c>
      <c r="H234" s="122">
        <f t="shared" si="50"/>
        <v>0</v>
      </c>
    </row>
    <row r="235" spans="2:8" ht="20.100000000000001" customHeight="1">
      <c r="B235" s="120" t="s">
        <v>218</v>
      </c>
      <c r="C235" s="129" t="s">
        <v>219</v>
      </c>
      <c r="D235" s="121">
        <v>0</v>
      </c>
      <c r="E235" s="121">
        <v>0</v>
      </c>
      <c r="F235" s="121">
        <v>0</v>
      </c>
      <c r="G235" s="121">
        <v>0</v>
      </c>
      <c r="H235" s="122">
        <f t="shared" si="50"/>
        <v>0</v>
      </c>
    </row>
    <row r="236" spans="2:8" ht="20.100000000000001" customHeight="1">
      <c r="B236" s="120" t="s">
        <v>904</v>
      </c>
      <c r="C236" s="129" t="s">
        <v>905</v>
      </c>
      <c r="D236" s="121">
        <v>0</v>
      </c>
      <c r="E236" s="121">
        <v>0</v>
      </c>
      <c r="F236" s="121">
        <v>0</v>
      </c>
      <c r="G236" s="121">
        <v>0</v>
      </c>
      <c r="H236" s="122">
        <f t="shared" si="50"/>
        <v>0</v>
      </c>
    </row>
    <row r="237" spans="2:8" ht="20.100000000000001" customHeight="1">
      <c r="B237" s="120" t="s">
        <v>827</v>
      </c>
      <c r="C237" s="129" t="s">
        <v>828</v>
      </c>
      <c r="D237" s="121">
        <v>0</v>
      </c>
      <c r="E237" s="121">
        <v>0</v>
      </c>
      <c r="F237" s="121">
        <v>0</v>
      </c>
      <c r="G237" s="121">
        <v>0</v>
      </c>
      <c r="H237" s="122">
        <f t="shared" ref="H237" si="62">G237+F237+E237+D237</f>
        <v>0</v>
      </c>
    </row>
    <row r="238" spans="2:8" ht="20.100000000000001" customHeight="1">
      <c r="B238" s="120" t="s">
        <v>362</v>
      </c>
      <c r="C238" s="129" t="s">
        <v>363</v>
      </c>
      <c r="D238" s="121">
        <v>0</v>
      </c>
      <c r="E238" s="121">
        <v>0</v>
      </c>
      <c r="F238" s="121">
        <v>0</v>
      </c>
      <c r="G238" s="121">
        <v>0</v>
      </c>
      <c r="H238" s="122">
        <f t="shared" si="50"/>
        <v>0</v>
      </c>
    </row>
    <row r="239" spans="2:8" ht="20.100000000000001" customHeight="1">
      <c r="B239" s="120" t="s">
        <v>220</v>
      </c>
      <c r="C239" s="129" t="s">
        <v>221</v>
      </c>
      <c r="D239" s="121">
        <v>0</v>
      </c>
      <c r="E239" s="121">
        <v>0</v>
      </c>
      <c r="F239" s="121">
        <v>0</v>
      </c>
      <c r="G239" s="121">
        <v>0</v>
      </c>
      <c r="H239" s="122">
        <f t="shared" si="50"/>
        <v>0</v>
      </c>
    </row>
    <row r="240" spans="2:8" ht="20.100000000000001" customHeight="1">
      <c r="B240" s="120" t="s">
        <v>699</v>
      </c>
      <c r="C240" s="129" t="s">
        <v>700</v>
      </c>
      <c r="D240" s="121">
        <v>0</v>
      </c>
      <c r="E240" s="121">
        <v>0</v>
      </c>
      <c r="F240" s="121">
        <v>0</v>
      </c>
      <c r="G240" s="121">
        <v>0</v>
      </c>
      <c r="H240" s="122">
        <f t="shared" si="50"/>
        <v>0</v>
      </c>
    </row>
    <row r="241" spans="2:8" ht="20.100000000000001" customHeight="1">
      <c r="B241" s="120" t="s">
        <v>172</v>
      </c>
      <c r="C241" s="129" t="s">
        <v>51</v>
      </c>
      <c r="D241" s="121">
        <v>0</v>
      </c>
      <c r="E241" s="121">
        <v>0</v>
      </c>
      <c r="F241" s="121">
        <v>0</v>
      </c>
      <c r="G241" s="121">
        <v>0</v>
      </c>
      <c r="H241" s="122">
        <f t="shared" si="50"/>
        <v>0</v>
      </c>
    </row>
    <row r="242" spans="2:8" ht="20.100000000000001" customHeight="1">
      <c r="B242" s="120" t="s">
        <v>172</v>
      </c>
      <c r="C242" s="129" t="s">
        <v>174</v>
      </c>
      <c r="D242" s="121">
        <v>0</v>
      </c>
      <c r="E242" s="121">
        <v>0</v>
      </c>
      <c r="F242" s="121">
        <v>0</v>
      </c>
      <c r="G242" s="121">
        <v>0</v>
      </c>
      <c r="H242" s="122">
        <f t="shared" si="50"/>
        <v>0</v>
      </c>
    </row>
    <row r="243" spans="2:8" ht="20.100000000000001" customHeight="1">
      <c r="B243" s="120" t="s">
        <v>172</v>
      </c>
      <c r="C243" s="129" t="s">
        <v>173</v>
      </c>
      <c r="D243" s="121">
        <v>0</v>
      </c>
      <c r="E243" s="121">
        <v>0</v>
      </c>
      <c r="F243" s="121">
        <v>0</v>
      </c>
      <c r="G243" s="121">
        <v>0</v>
      </c>
      <c r="H243" s="122">
        <f t="shared" si="50"/>
        <v>0</v>
      </c>
    </row>
    <row r="244" spans="2:8" ht="20.100000000000001" customHeight="1">
      <c r="B244" s="120" t="s">
        <v>172</v>
      </c>
      <c r="C244" s="129" t="s">
        <v>158</v>
      </c>
      <c r="D244" s="121">
        <v>0</v>
      </c>
      <c r="E244" s="121">
        <v>0</v>
      </c>
      <c r="F244" s="121">
        <v>0</v>
      </c>
      <c r="G244" s="121">
        <v>0</v>
      </c>
      <c r="H244" s="122">
        <f t="shared" si="50"/>
        <v>0</v>
      </c>
    </row>
    <row r="245" spans="2:8" ht="20.100000000000001" customHeight="1">
      <c r="B245" s="120" t="s">
        <v>172</v>
      </c>
      <c r="C245" s="129" t="s">
        <v>159</v>
      </c>
      <c r="D245" s="121">
        <v>0</v>
      </c>
      <c r="E245" s="121">
        <v>0</v>
      </c>
      <c r="F245" s="121">
        <v>0</v>
      </c>
      <c r="G245" s="121">
        <v>0</v>
      </c>
      <c r="H245" s="122">
        <f t="shared" si="50"/>
        <v>0</v>
      </c>
    </row>
    <row r="246" spans="2:8" ht="20.100000000000001" customHeight="1">
      <c r="B246" s="120" t="s">
        <v>222</v>
      </c>
      <c r="C246" s="129" t="s">
        <v>223</v>
      </c>
      <c r="D246" s="121">
        <v>0</v>
      </c>
      <c r="E246" s="121">
        <v>0</v>
      </c>
      <c r="F246" s="121">
        <v>0</v>
      </c>
      <c r="G246" s="121">
        <v>0</v>
      </c>
      <c r="H246" s="122">
        <f t="shared" si="50"/>
        <v>0</v>
      </c>
    </row>
    <row r="247" spans="2:8" ht="20.100000000000001" customHeight="1">
      <c r="B247" s="120" t="s">
        <v>224</v>
      </c>
      <c r="C247" s="129" t="s">
        <v>225</v>
      </c>
      <c r="D247" s="121">
        <v>0</v>
      </c>
      <c r="E247" s="121">
        <v>0</v>
      </c>
      <c r="F247" s="121">
        <v>0</v>
      </c>
      <c r="G247" s="121">
        <v>0</v>
      </c>
      <c r="H247" s="122">
        <f t="shared" si="50"/>
        <v>0</v>
      </c>
    </row>
    <row r="248" spans="2:8" ht="20.100000000000001" customHeight="1">
      <c r="B248" s="120" t="s">
        <v>21</v>
      </c>
      <c r="C248" s="129" t="s">
        <v>158</v>
      </c>
      <c r="D248" s="121">
        <v>0</v>
      </c>
      <c r="E248" s="121">
        <v>0</v>
      </c>
      <c r="F248" s="121">
        <v>0</v>
      </c>
      <c r="G248" s="121">
        <v>0</v>
      </c>
      <c r="H248" s="122">
        <f t="shared" si="50"/>
        <v>0</v>
      </c>
    </row>
    <row r="249" spans="2:8" ht="20.100000000000001" customHeight="1">
      <c r="B249" s="120" t="s">
        <v>659</v>
      </c>
      <c r="C249" s="129" t="s">
        <v>660</v>
      </c>
      <c r="D249" s="121">
        <v>0</v>
      </c>
      <c r="E249" s="121">
        <v>0</v>
      </c>
      <c r="F249" s="121">
        <v>0</v>
      </c>
      <c r="G249" s="121">
        <v>0</v>
      </c>
      <c r="H249" s="122">
        <f t="shared" si="50"/>
        <v>0</v>
      </c>
    </row>
    <row r="250" spans="2:8" ht="20.100000000000001" customHeight="1">
      <c r="B250" s="120" t="s">
        <v>21</v>
      </c>
      <c r="C250" s="129" t="s">
        <v>160</v>
      </c>
      <c r="D250" s="121">
        <v>0</v>
      </c>
      <c r="E250" s="121">
        <v>0</v>
      </c>
      <c r="F250" s="121">
        <v>0</v>
      </c>
      <c r="G250" s="121">
        <v>0</v>
      </c>
      <c r="H250" s="122">
        <f t="shared" si="50"/>
        <v>0</v>
      </c>
    </row>
    <row r="251" spans="2:8">
      <c r="B251" s="120" t="s">
        <v>21</v>
      </c>
      <c r="C251" s="129" t="s">
        <v>174</v>
      </c>
      <c r="D251" s="121">
        <v>0</v>
      </c>
      <c r="E251" s="121">
        <v>0</v>
      </c>
      <c r="F251" s="121">
        <v>0</v>
      </c>
      <c r="G251" s="121">
        <v>0</v>
      </c>
      <c r="H251" s="122">
        <f t="shared" si="50"/>
        <v>0</v>
      </c>
    </row>
    <row r="252" spans="2:8">
      <c r="B252" s="120" t="s">
        <v>21</v>
      </c>
      <c r="C252" s="129" t="s">
        <v>173</v>
      </c>
      <c r="D252" s="121">
        <v>0</v>
      </c>
      <c r="E252" s="121">
        <v>0</v>
      </c>
      <c r="F252" s="121">
        <v>0</v>
      </c>
      <c r="G252" s="121">
        <v>0</v>
      </c>
      <c r="H252" s="122">
        <f t="shared" si="50"/>
        <v>0</v>
      </c>
    </row>
    <row r="253" spans="2:8" ht="20.100000000000001" customHeight="1">
      <c r="B253" s="120" t="s">
        <v>473</v>
      </c>
      <c r="C253" s="129" t="s">
        <v>474</v>
      </c>
      <c r="D253" s="121">
        <v>0</v>
      </c>
      <c r="E253" s="121">
        <v>0</v>
      </c>
      <c r="F253" s="121">
        <v>0</v>
      </c>
      <c r="G253" s="121">
        <v>0</v>
      </c>
      <c r="H253" s="122">
        <f t="shared" si="50"/>
        <v>0</v>
      </c>
    </row>
    <row r="254" spans="2:8" ht="20.100000000000001" customHeight="1">
      <c r="B254" s="126" t="s">
        <v>21</v>
      </c>
      <c r="C254" s="132" t="s">
        <v>161</v>
      </c>
      <c r="D254" s="127">
        <v>0</v>
      </c>
      <c r="E254" s="127">
        <v>0</v>
      </c>
      <c r="F254" s="127">
        <v>0</v>
      </c>
      <c r="G254" s="127">
        <v>0</v>
      </c>
      <c r="H254" s="128">
        <f t="shared" si="50"/>
        <v>0</v>
      </c>
    </row>
    <row r="255" spans="2:8" ht="20.100000000000001" customHeight="1">
      <c r="B255" s="304" t="s">
        <v>22</v>
      </c>
      <c r="C255" s="305"/>
      <c r="D255" s="74">
        <f>SUM(D177:D254)</f>
        <v>0</v>
      </c>
      <c r="E255" s="74">
        <f>SUM(E177:E254)</f>
        <v>0</v>
      </c>
      <c r="F255" s="74">
        <f>SUM(F177:F254)</f>
        <v>0</v>
      </c>
      <c r="G255" s="74">
        <f>SUM(G177:G254)</f>
        <v>0</v>
      </c>
      <c r="H255" s="74">
        <f>SUM(H177:H254)</f>
        <v>0</v>
      </c>
    </row>
    <row r="256" spans="2:8" ht="20.100000000000001" customHeight="1">
      <c r="B256" s="100" t="s">
        <v>23</v>
      </c>
      <c r="C256" s="100"/>
      <c r="D256" s="100"/>
      <c r="E256" s="110"/>
      <c r="F256" s="100"/>
      <c r="G256" s="100"/>
      <c r="H256" s="100"/>
    </row>
    <row r="257" spans="2:8" ht="20.100000000000001" customHeight="1">
      <c r="B257" s="120" t="s">
        <v>607</v>
      </c>
      <c r="C257" s="120" t="s">
        <v>608</v>
      </c>
      <c r="D257" s="121">
        <v>0</v>
      </c>
      <c r="E257" s="121">
        <v>0</v>
      </c>
      <c r="F257" s="121">
        <v>0</v>
      </c>
      <c r="G257" s="121">
        <v>0</v>
      </c>
      <c r="H257" s="122">
        <f t="shared" ref="H257:H342" si="63">G257+F257+E257+D257</f>
        <v>0</v>
      </c>
    </row>
    <row r="258" spans="2:8" ht="20.100000000000001" customHeight="1">
      <c r="B258" s="120" t="s">
        <v>609</v>
      </c>
      <c r="C258" s="120" t="s">
        <v>610</v>
      </c>
      <c r="D258" s="121">
        <v>0</v>
      </c>
      <c r="E258" s="121">
        <v>0</v>
      </c>
      <c r="F258" s="121">
        <v>0</v>
      </c>
      <c r="G258" s="121">
        <v>0</v>
      </c>
      <c r="H258" s="122">
        <f t="shared" si="63"/>
        <v>0</v>
      </c>
    </row>
    <row r="259" spans="2:8" ht="20.100000000000001" customHeight="1">
      <c r="B259" s="120" t="s">
        <v>611</v>
      </c>
      <c r="C259" s="120" t="s">
        <v>612</v>
      </c>
      <c r="D259" s="121">
        <v>0</v>
      </c>
      <c r="E259" s="121">
        <v>0</v>
      </c>
      <c r="F259" s="121">
        <v>0</v>
      </c>
      <c r="G259" s="121">
        <v>0</v>
      </c>
      <c r="H259" s="122">
        <f t="shared" si="63"/>
        <v>0</v>
      </c>
    </row>
    <row r="260" spans="2:8" ht="20.100000000000001" customHeight="1">
      <c r="B260" s="120" t="s">
        <v>613</v>
      </c>
      <c r="C260" s="120" t="s">
        <v>614</v>
      </c>
      <c r="D260" s="121">
        <v>0</v>
      </c>
      <c r="E260" s="121">
        <v>0</v>
      </c>
      <c r="F260" s="121">
        <v>0</v>
      </c>
      <c r="G260" s="121">
        <v>0</v>
      </c>
      <c r="H260" s="122">
        <f t="shared" si="63"/>
        <v>0</v>
      </c>
    </row>
    <row r="261" spans="2:8" ht="20.100000000000001" customHeight="1">
      <c r="B261" s="120" t="s">
        <v>615</v>
      </c>
      <c r="C261" s="120" t="s">
        <v>906</v>
      </c>
      <c r="D261" s="121">
        <v>0</v>
      </c>
      <c r="E261" s="121">
        <v>0</v>
      </c>
      <c r="F261" s="121">
        <v>0</v>
      </c>
      <c r="G261" s="121">
        <v>0</v>
      </c>
      <c r="H261" s="122">
        <f t="shared" si="63"/>
        <v>0</v>
      </c>
    </row>
    <row r="262" spans="2:8" ht="20.100000000000001" customHeight="1">
      <c r="B262" s="120" t="s">
        <v>956</v>
      </c>
      <c r="C262" s="120" t="s">
        <v>957</v>
      </c>
      <c r="D262" s="121">
        <v>0</v>
      </c>
      <c r="E262" s="121">
        <v>0</v>
      </c>
      <c r="F262" s="121">
        <v>0</v>
      </c>
      <c r="G262" s="121">
        <v>0</v>
      </c>
      <c r="H262" s="122">
        <f t="shared" ref="H262" si="64">G262+F262+E262+D262</f>
        <v>0</v>
      </c>
    </row>
    <row r="263" spans="2:8" ht="20.100000000000001" customHeight="1">
      <c r="B263" s="120" t="s">
        <v>616</v>
      </c>
      <c r="C263" s="120" t="s">
        <v>980</v>
      </c>
      <c r="D263" s="121">
        <v>0</v>
      </c>
      <c r="E263" s="121">
        <v>0</v>
      </c>
      <c r="F263" s="121">
        <v>0</v>
      </c>
      <c r="G263" s="121">
        <v>0</v>
      </c>
      <c r="H263" s="122">
        <f t="shared" si="63"/>
        <v>0</v>
      </c>
    </row>
    <row r="264" spans="2:8" ht="20.100000000000001" customHeight="1">
      <c r="B264" s="120" t="s">
        <v>617</v>
      </c>
      <c r="C264" s="120" t="s">
        <v>618</v>
      </c>
      <c r="D264" s="121">
        <v>0</v>
      </c>
      <c r="E264" s="121">
        <v>0</v>
      </c>
      <c r="F264" s="121">
        <v>0</v>
      </c>
      <c r="G264" s="121">
        <v>0</v>
      </c>
      <c r="H264" s="122">
        <f t="shared" si="63"/>
        <v>0</v>
      </c>
    </row>
    <row r="265" spans="2:8" ht="20.100000000000001" customHeight="1">
      <c r="B265" s="120" t="s">
        <v>617</v>
      </c>
      <c r="C265" s="120" t="s">
        <v>619</v>
      </c>
      <c r="D265" s="121">
        <v>0</v>
      </c>
      <c r="E265" s="121">
        <v>0</v>
      </c>
      <c r="F265" s="121">
        <v>0</v>
      </c>
      <c r="G265" s="121">
        <v>0</v>
      </c>
      <c r="H265" s="122">
        <f t="shared" si="63"/>
        <v>0</v>
      </c>
    </row>
    <row r="266" spans="2:8" ht="20.100000000000001" customHeight="1">
      <c r="B266" s="120" t="s">
        <v>620</v>
      </c>
      <c r="C266" s="120" t="s">
        <v>621</v>
      </c>
      <c r="D266" s="121">
        <v>0</v>
      </c>
      <c r="E266" s="121">
        <v>0</v>
      </c>
      <c r="F266" s="121">
        <v>0</v>
      </c>
      <c r="G266" s="121">
        <v>0</v>
      </c>
      <c r="H266" s="122">
        <f t="shared" si="63"/>
        <v>0</v>
      </c>
    </row>
    <row r="267" spans="2:8" ht="20.100000000000001" customHeight="1">
      <c r="B267" s="120" t="s">
        <v>703</v>
      </c>
      <c r="C267" s="120" t="s">
        <v>704</v>
      </c>
      <c r="D267" s="121">
        <v>0</v>
      </c>
      <c r="E267" s="121">
        <v>0</v>
      </c>
      <c r="F267" s="121">
        <v>0</v>
      </c>
      <c r="G267" s="121">
        <v>0</v>
      </c>
      <c r="H267" s="122">
        <f t="shared" ref="H267" si="65">G267+F267+E267+D267</f>
        <v>0</v>
      </c>
    </row>
    <row r="268" spans="2:8" ht="20.100000000000001" customHeight="1">
      <c r="B268" s="120" t="s">
        <v>405</v>
      </c>
      <c r="C268" s="120" t="s">
        <v>406</v>
      </c>
      <c r="D268" s="121">
        <v>0</v>
      </c>
      <c r="E268" s="121">
        <v>0</v>
      </c>
      <c r="F268" s="121">
        <v>0</v>
      </c>
      <c r="G268" s="121">
        <v>0</v>
      </c>
      <c r="H268" s="122">
        <f t="shared" si="63"/>
        <v>0</v>
      </c>
    </row>
    <row r="269" spans="2:8" ht="20.100000000000001" customHeight="1">
      <c r="B269" s="120" t="s">
        <v>405</v>
      </c>
      <c r="C269" s="120" t="s">
        <v>626</v>
      </c>
      <c r="D269" s="121">
        <v>0</v>
      </c>
      <c r="E269" s="121">
        <v>0</v>
      </c>
      <c r="F269" s="121">
        <v>0</v>
      </c>
      <c r="G269" s="121">
        <v>0</v>
      </c>
      <c r="H269" s="122">
        <f t="shared" si="63"/>
        <v>0</v>
      </c>
    </row>
    <row r="270" spans="2:8" ht="20.100000000000001" customHeight="1">
      <c r="B270" s="120" t="s">
        <v>261</v>
      </c>
      <c r="C270" s="120" t="s">
        <v>262</v>
      </c>
      <c r="D270" s="121">
        <v>0</v>
      </c>
      <c r="E270" s="121">
        <v>0</v>
      </c>
      <c r="F270" s="121">
        <v>0</v>
      </c>
      <c r="G270" s="121">
        <v>0</v>
      </c>
      <c r="H270" s="122">
        <f t="shared" si="63"/>
        <v>0</v>
      </c>
    </row>
    <row r="271" spans="2:8" ht="20.100000000000001" customHeight="1">
      <c r="B271" s="120" t="s">
        <v>261</v>
      </c>
      <c r="C271" s="120" t="s">
        <v>628</v>
      </c>
      <c r="D271" s="121">
        <v>0</v>
      </c>
      <c r="E271" s="121">
        <v>0</v>
      </c>
      <c r="F271" s="121">
        <v>0</v>
      </c>
      <c r="G271" s="121">
        <v>0</v>
      </c>
      <c r="H271" s="122">
        <f t="shared" si="63"/>
        <v>0</v>
      </c>
    </row>
    <row r="272" spans="2:8" ht="20.100000000000001" customHeight="1">
      <c r="B272" s="120" t="s">
        <v>622</v>
      </c>
      <c r="C272" s="120" t="s">
        <v>684</v>
      </c>
      <c r="D272" s="121">
        <v>0</v>
      </c>
      <c r="E272" s="121">
        <v>0</v>
      </c>
      <c r="F272" s="121">
        <v>0</v>
      </c>
      <c r="G272" s="121">
        <v>0</v>
      </c>
      <c r="H272" s="122">
        <f t="shared" si="63"/>
        <v>0</v>
      </c>
    </row>
    <row r="273" spans="2:8" ht="20.100000000000001" customHeight="1">
      <c r="B273" s="120" t="s">
        <v>622</v>
      </c>
      <c r="C273" s="120" t="s">
        <v>623</v>
      </c>
      <c r="D273" s="121">
        <v>0</v>
      </c>
      <c r="E273" s="121">
        <v>0</v>
      </c>
      <c r="F273" s="121">
        <v>0</v>
      </c>
      <c r="G273" s="121">
        <v>0</v>
      </c>
      <c r="H273" s="122">
        <f t="shared" si="63"/>
        <v>0</v>
      </c>
    </row>
    <row r="274" spans="2:8" ht="20.100000000000001" customHeight="1">
      <c r="B274" s="120" t="s">
        <v>624</v>
      </c>
      <c r="C274" s="120" t="s">
        <v>625</v>
      </c>
      <c r="D274" s="121">
        <v>0</v>
      </c>
      <c r="E274" s="121">
        <v>0</v>
      </c>
      <c r="F274" s="121">
        <v>0</v>
      </c>
      <c r="G274" s="121">
        <v>0</v>
      </c>
      <c r="H274" s="122">
        <f t="shared" si="63"/>
        <v>0</v>
      </c>
    </row>
    <row r="275" spans="2:8" ht="20.100000000000001" customHeight="1">
      <c r="B275" s="120" t="s">
        <v>407</v>
      </c>
      <c r="C275" s="120" t="s">
        <v>408</v>
      </c>
      <c r="D275" s="121">
        <v>0</v>
      </c>
      <c r="E275" s="121">
        <v>0</v>
      </c>
      <c r="F275" s="121">
        <v>0</v>
      </c>
      <c r="G275" s="121">
        <v>0</v>
      </c>
      <c r="H275" s="122">
        <f t="shared" si="63"/>
        <v>0</v>
      </c>
    </row>
    <row r="276" spans="2:8" ht="20.100000000000001" customHeight="1">
      <c r="B276" s="120" t="s">
        <v>409</v>
      </c>
      <c r="C276" s="120" t="s">
        <v>410</v>
      </c>
      <c r="D276" s="121">
        <v>0</v>
      </c>
      <c r="E276" s="121">
        <v>0</v>
      </c>
      <c r="F276" s="121">
        <v>0</v>
      </c>
      <c r="G276" s="121">
        <v>0</v>
      </c>
      <c r="H276" s="122">
        <f t="shared" si="63"/>
        <v>0</v>
      </c>
    </row>
    <row r="277" spans="2:8" ht="20.100000000000001" customHeight="1">
      <c r="B277" s="120" t="s">
        <v>409</v>
      </c>
      <c r="C277" s="120" t="s">
        <v>627</v>
      </c>
      <c r="D277" s="121">
        <v>0</v>
      </c>
      <c r="E277" s="121">
        <v>0</v>
      </c>
      <c r="F277" s="121">
        <v>0</v>
      </c>
      <c r="G277" s="121">
        <v>0</v>
      </c>
      <c r="H277" s="122">
        <f t="shared" si="63"/>
        <v>0</v>
      </c>
    </row>
    <row r="278" spans="2:8" ht="20.100000000000001" customHeight="1">
      <c r="B278" s="120" t="s">
        <v>412</v>
      </c>
      <c r="C278" s="120" t="s">
        <v>411</v>
      </c>
      <c r="D278" s="121">
        <v>0</v>
      </c>
      <c r="E278" s="121">
        <v>0</v>
      </c>
      <c r="F278" s="121">
        <v>0</v>
      </c>
      <c r="G278" s="121">
        <v>0</v>
      </c>
      <c r="H278" s="122">
        <f t="shared" si="63"/>
        <v>0</v>
      </c>
    </row>
    <row r="279" spans="2:8" ht="20.100000000000001" customHeight="1">
      <c r="B279" s="120" t="s">
        <v>413</v>
      </c>
      <c r="C279" s="120" t="s">
        <v>414</v>
      </c>
      <c r="D279" s="121">
        <v>0</v>
      </c>
      <c r="E279" s="121">
        <v>0</v>
      </c>
      <c r="F279" s="121">
        <v>0</v>
      </c>
      <c r="G279" s="121">
        <v>0</v>
      </c>
      <c r="H279" s="122">
        <f t="shared" si="63"/>
        <v>0</v>
      </c>
    </row>
    <row r="280" spans="2:8" ht="20.100000000000001" customHeight="1">
      <c r="B280" s="120" t="s">
        <v>413</v>
      </c>
      <c r="C280" s="120" t="s">
        <v>629</v>
      </c>
      <c r="D280" s="121">
        <v>0</v>
      </c>
      <c r="E280" s="121">
        <v>0</v>
      </c>
      <c r="F280" s="121">
        <v>0</v>
      </c>
      <c r="G280" s="121">
        <v>0</v>
      </c>
      <c r="H280" s="122">
        <f t="shared" si="63"/>
        <v>0</v>
      </c>
    </row>
    <row r="281" spans="2:8" ht="20.100000000000001" customHeight="1">
      <c r="B281" s="120" t="s">
        <v>418</v>
      </c>
      <c r="C281" s="120" t="s">
        <v>415</v>
      </c>
      <c r="D281" s="121">
        <v>0</v>
      </c>
      <c r="E281" s="121">
        <v>0</v>
      </c>
      <c r="F281" s="121">
        <v>0</v>
      </c>
      <c r="G281" s="121">
        <v>0</v>
      </c>
      <c r="H281" s="122">
        <f t="shared" si="63"/>
        <v>0</v>
      </c>
    </row>
    <row r="282" spans="2:8" ht="20.100000000000001" customHeight="1">
      <c r="B282" s="120" t="s">
        <v>419</v>
      </c>
      <c r="C282" s="120" t="s">
        <v>630</v>
      </c>
      <c r="D282" s="121">
        <v>0</v>
      </c>
      <c r="E282" s="121">
        <v>0</v>
      </c>
      <c r="F282" s="121">
        <v>0</v>
      </c>
      <c r="G282" s="121">
        <v>0</v>
      </c>
      <c r="H282" s="122">
        <f t="shared" si="63"/>
        <v>0</v>
      </c>
    </row>
    <row r="283" spans="2:8" ht="20.100000000000001" customHeight="1">
      <c r="B283" s="120" t="s">
        <v>419</v>
      </c>
      <c r="C283" s="120" t="s">
        <v>420</v>
      </c>
      <c r="D283" s="121">
        <v>0</v>
      </c>
      <c r="E283" s="121">
        <v>0</v>
      </c>
      <c r="F283" s="121">
        <v>0</v>
      </c>
      <c r="G283" s="121">
        <v>0</v>
      </c>
      <c r="H283" s="122">
        <f t="shared" si="63"/>
        <v>0</v>
      </c>
    </row>
    <row r="284" spans="2:8" ht="20.100000000000001" customHeight="1">
      <c r="B284" s="120" t="s">
        <v>421</v>
      </c>
      <c r="C284" s="120" t="s">
        <v>422</v>
      </c>
      <c r="D284" s="121">
        <v>0</v>
      </c>
      <c r="E284" s="121">
        <v>0</v>
      </c>
      <c r="F284" s="121">
        <v>0</v>
      </c>
      <c r="G284" s="121">
        <v>0</v>
      </c>
      <c r="H284" s="122">
        <f t="shared" si="63"/>
        <v>0</v>
      </c>
    </row>
    <row r="285" spans="2:8" ht="20.100000000000001" customHeight="1">
      <c r="B285" s="120" t="s">
        <v>421</v>
      </c>
      <c r="C285" s="120" t="s">
        <v>631</v>
      </c>
      <c r="D285" s="121">
        <v>0</v>
      </c>
      <c r="E285" s="121">
        <v>0</v>
      </c>
      <c r="F285" s="121">
        <v>0</v>
      </c>
      <c r="G285" s="121">
        <v>0</v>
      </c>
      <c r="H285" s="122">
        <f t="shared" si="63"/>
        <v>0</v>
      </c>
    </row>
    <row r="286" spans="2:8" ht="20.100000000000001" customHeight="1">
      <c r="B286" s="120" t="s">
        <v>867</v>
      </c>
      <c r="C286" s="120" t="s">
        <v>868</v>
      </c>
      <c r="D286" s="121">
        <v>0</v>
      </c>
      <c r="E286" s="121">
        <v>0</v>
      </c>
      <c r="F286" s="121">
        <v>0</v>
      </c>
      <c r="G286" s="121">
        <v>0</v>
      </c>
      <c r="H286" s="122">
        <f t="shared" ref="H286:H287" si="66">G286+F286+E286+D286</f>
        <v>0</v>
      </c>
    </row>
    <row r="287" spans="2:8" ht="20.100000000000001" customHeight="1">
      <c r="B287" s="120" t="s">
        <v>958</v>
      </c>
      <c r="C287" s="120" t="s">
        <v>959</v>
      </c>
      <c r="D287" s="121">
        <v>0</v>
      </c>
      <c r="E287" s="121">
        <v>0</v>
      </c>
      <c r="F287" s="121">
        <v>0</v>
      </c>
      <c r="G287" s="121">
        <v>0</v>
      </c>
      <c r="H287" s="122">
        <f t="shared" si="66"/>
        <v>0</v>
      </c>
    </row>
    <row r="288" spans="2:8" ht="20.100000000000001" customHeight="1">
      <c r="B288" s="120" t="s">
        <v>960</v>
      </c>
      <c r="C288" s="120" t="s">
        <v>961</v>
      </c>
      <c r="D288" s="121">
        <v>0</v>
      </c>
      <c r="E288" s="121">
        <v>0</v>
      </c>
      <c r="F288" s="121">
        <v>0</v>
      </c>
      <c r="G288" s="121">
        <v>0</v>
      </c>
      <c r="H288" s="122">
        <f t="shared" ref="H288:H289" si="67">G288+F288+E288+D288</f>
        <v>0</v>
      </c>
    </row>
    <row r="289" spans="2:8" ht="20.100000000000001" customHeight="1">
      <c r="B289" s="85" t="s">
        <v>994</v>
      </c>
      <c r="C289" s="85" t="s">
        <v>995</v>
      </c>
      <c r="D289" s="121">
        <v>0</v>
      </c>
      <c r="E289" s="121">
        <v>0</v>
      </c>
      <c r="F289" s="121">
        <v>0</v>
      </c>
      <c r="G289" s="121">
        <v>0</v>
      </c>
      <c r="H289" s="122">
        <f t="shared" si="67"/>
        <v>0</v>
      </c>
    </row>
    <row r="290" spans="2:8" ht="20.100000000000001" customHeight="1">
      <c r="B290" s="85" t="s">
        <v>996</v>
      </c>
      <c r="C290" s="85" t="s">
        <v>997</v>
      </c>
      <c r="D290" s="121">
        <v>0</v>
      </c>
      <c r="E290" s="121">
        <v>0</v>
      </c>
      <c r="F290" s="121">
        <v>0</v>
      </c>
      <c r="G290" s="121">
        <v>0</v>
      </c>
      <c r="H290" s="122">
        <f t="shared" ref="H290:H294" si="68">G290+F290+E290+D290</f>
        <v>0</v>
      </c>
    </row>
    <row r="291" spans="2:8" ht="20.100000000000001" customHeight="1">
      <c r="B291" s="85" t="s">
        <v>1022</v>
      </c>
      <c r="C291" s="85" t="s">
        <v>1023</v>
      </c>
      <c r="D291" s="121">
        <v>0</v>
      </c>
      <c r="E291" s="121">
        <v>0</v>
      </c>
      <c r="F291" s="121">
        <v>0</v>
      </c>
      <c r="G291" s="121">
        <v>0</v>
      </c>
      <c r="H291" s="122">
        <f t="shared" si="68"/>
        <v>0</v>
      </c>
    </row>
    <row r="292" spans="2:8" ht="20.100000000000001" customHeight="1">
      <c r="B292" s="85" t="s">
        <v>1024</v>
      </c>
      <c r="C292" s="85" t="s">
        <v>1025</v>
      </c>
      <c r="D292" s="121">
        <v>0</v>
      </c>
      <c r="E292" s="121">
        <v>0</v>
      </c>
      <c r="F292" s="121">
        <v>0</v>
      </c>
      <c r="G292" s="121">
        <v>0</v>
      </c>
      <c r="H292" s="122">
        <f t="shared" si="68"/>
        <v>0</v>
      </c>
    </row>
    <row r="293" spans="2:8" ht="20.100000000000001" customHeight="1">
      <c r="B293" s="85" t="s">
        <v>1001</v>
      </c>
      <c r="C293" s="85" t="s">
        <v>1002</v>
      </c>
      <c r="D293" s="121">
        <v>0</v>
      </c>
      <c r="E293" s="121">
        <v>0</v>
      </c>
      <c r="F293" s="121">
        <v>0</v>
      </c>
      <c r="G293" s="121">
        <v>0</v>
      </c>
      <c r="H293" s="122">
        <f>G293+F293+E293+D293</f>
        <v>0</v>
      </c>
    </row>
    <row r="294" spans="2:8" ht="20.100000000000001" customHeight="1">
      <c r="B294" s="85" t="s">
        <v>1026</v>
      </c>
      <c r="C294" s="85" t="s">
        <v>1027</v>
      </c>
      <c r="D294" s="121">
        <v>0</v>
      </c>
      <c r="E294" s="121">
        <v>0</v>
      </c>
      <c r="F294" s="121">
        <v>0</v>
      </c>
      <c r="G294" s="121">
        <v>0</v>
      </c>
      <c r="H294" s="122">
        <f t="shared" si="68"/>
        <v>0</v>
      </c>
    </row>
    <row r="295" spans="2:8" ht="20.100000000000001" customHeight="1">
      <c r="B295" s="120" t="s">
        <v>429</v>
      </c>
      <c r="C295" s="120" t="s">
        <v>263</v>
      </c>
      <c r="D295" s="121">
        <v>0</v>
      </c>
      <c r="E295" s="121">
        <v>0</v>
      </c>
      <c r="F295" s="121">
        <v>0</v>
      </c>
      <c r="G295" s="121">
        <v>0</v>
      </c>
      <c r="H295" s="122">
        <f t="shared" si="63"/>
        <v>0</v>
      </c>
    </row>
    <row r="296" spans="2:8" ht="20.100000000000001" customHeight="1">
      <c r="B296" s="120" t="s">
        <v>428</v>
      </c>
      <c r="C296" s="120" t="s">
        <v>427</v>
      </c>
      <c r="D296" s="121">
        <v>0</v>
      </c>
      <c r="E296" s="121">
        <v>0</v>
      </c>
      <c r="F296" s="121">
        <v>0</v>
      </c>
      <c r="G296" s="121">
        <v>0</v>
      </c>
      <c r="H296" s="122">
        <f t="shared" si="63"/>
        <v>0</v>
      </c>
    </row>
    <row r="297" spans="2:8" ht="20.100000000000001" customHeight="1">
      <c r="B297" s="120" t="s">
        <v>264</v>
      </c>
      <c r="C297" s="120" t="s">
        <v>265</v>
      </c>
      <c r="D297" s="121">
        <v>0</v>
      </c>
      <c r="E297" s="121">
        <v>0</v>
      </c>
      <c r="F297" s="121">
        <v>0</v>
      </c>
      <c r="G297" s="121">
        <v>0</v>
      </c>
      <c r="H297" s="122">
        <f t="shared" si="63"/>
        <v>0</v>
      </c>
    </row>
    <row r="298" spans="2:8" ht="20.100000000000001" customHeight="1">
      <c r="B298" s="120" t="s">
        <v>652</v>
      </c>
      <c r="C298" s="120" t="s">
        <v>653</v>
      </c>
      <c r="D298" s="121">
        <v>0</v>
      </c>
      <c r="E298" s="121">
        <v>0</v>
      </c>
      <c r="F298" s="121">
        <v>0</v>
      </c>
      <c r="G298" s="121">
        <v>0</v>
      </c>
      <c r="H298" s="122">
        <f t="shared" si="63"/>
        <v>0</v>
      </c>
    </row>
    <row r="299" spans="2:8" ht="20.100000000000001" customHeight="1">
      <c r="B299" s="120" t="s">
        <v>652</v>
      </c>
      <c r="C299" s="120" t="s">
        <v>654</v>
      </c>
      <c r="D299" s="121">
        <v>0</v>
      </c>
      <c r="E299" s="121">
        <v>0</v>
      </c>
      <c r="F299" s="121">
        <v>0</v>
      </c>
      <c r="G299" s="121">
        <v>0</v>
      </c>
      <c r="H299" s="122">
        <f t="shared" si="63"/>
        <v>0</v>
      </c>
    </row>
    <row r="300" spans="2:8" ht="20.100000000000001" customHeight="1">
      <c r="B300" s="120" t="s">
        <v>646</v>
      </c>
      <c r="C300" s="120" t="s">
        <v>647</v>
      </c>
      <c r="D300" s="121">
        <v>0</v>
      </c>
      <c r="E300" s="121">
        <v>0</v>
      </c>
      <c r="F300" s="121">
        <v>0</v>
      </c>
      <c r="G300" s="121">
        <v>0</v>
      </c>
      <c r="H300" s="122">
        <f t="shared" si="63"/>
        <v>0</v>
      </c>
    </row>
    <row r="301" spans="2:8" ht="20.100000000000001" customHeight="1">
      <c r="B301" s="120" t="s">
        <v>648</v>
      </c>
      <c r="C301" s="120" t="s">
        <v>649</v>
      </c>
      <c r="D301" s="121">
        <v>0</v>
      </c>
      <c r="E301" s="121">
        <v>0</v>
      </c>
      <c r="F301" s="121">
        <v>0</v>
      </c>
      <c r="G301" s="121">
        <v>0</v>
      </c>
      <c r="H301" s="122">
        <f t="shared" si="63"/>
        <v>0</v>
      </c>
    </row>
    <row r="302" spans="2:8" ht="20.100000000000001" customHeight="1">
      <c r="B302" s="120" t="s">
        <v>650</v>
      </c>
      <c r="C302" s="120" t="s">
        <v>651</v>
      </c>
      <c r="D302" s="121">
        <v>0</v>
      </c>
      <c r="E302" s="121">
        <v>0</v>
      </c>
      <c r="F302" s="121">
        <v>0</v>
      </c>
      <c r="G302" s="121">
        <v>0</v>
      </c>
      <c r="H302" s="122">
        <f t="shared" si="63"/>
        <v>0</v>
      </c>
    </row>
    <row r="303" spans="2:8" ht="20.100000000000001" customHeight="1">
      <c r="B303" s="120" t="s">
        <v>800</v>
      </c>
      <c r="C303" s="120" t="s">
        <v>784</v>
      </c>
      <c r="D303" s="121">
        <v>0</v>
      </c>
      <c r="E303" s="121">
        <v>0</v>
      </c>
      <c r="F303" s="121">
        <v>0</v>
      </c>
      <c r="G303" s="121">
        <v>0</v>
      </c>
      <c r="H303" s="122">
        <f t="shared" ref="H303:H304" si="69">G303+F303+E303+D303</f>
        <v>0</v>
      </c>
    </row>
    <row r="304" spans="2:8" ht="20.100000000000001" customHeight="1">
      <c r="B304" s="120" t="s">
        <v>801</v>
      </c>
      <c r="C304" s="120" t="s">
        <v>710</v>
      </c>
      <c r="D304" s="121">
        <v>0</v>
      </c>
      <c r="E304" s="121">
        <v>0</v>
      </c>
      <c r="F304" s="121">
        <v>0</v>
      </c>
      <c r="G304" s="121">
        <v>0</v>
      </c>
      <c r="H304" s="122">
        <f t="shared" si="69"/>
        <v>0</v>
      </c>
    </row>
    <row r="305" spans="2:8" ht="20.100000000000001" customHeight="1">
      <c r="B305" s="120" t="s">
        <v>268</v>
      </c>
      <c r="C305" s="120" t="s">
        <v>269</v>
      </c>
      <c r="D305" s="121">
        <v>0</v>
      </c>
      <c r="E305" s="121">
        <v>0</v>
      </c>
      <c r="F305" s="121">
        <v>0</v>
      </c>
      <c r="G305" s="121">
        <v>0</v>
      </c>
      <c r="H305" s="122">
        <f t="shared" si="63"/>
        <v>0</v>
      </c>
    </row>
    <row r="306" spans="2:8" ht="20.100000000000001" customHeight="1">
      <c r="B306" s="120" t="s">
        <v>268</v>
      </c>
      <c r="C306" s="120" t="s">
        <v>1005</v>
      </c>
      <c r="D306" s="121">
        <v>0</v>
      </c>
      <c r="E306" s="121">
        <v>0</v>
      </c>
      <c r="F306" s="121">
        <v>0</v>
      </c>
      <c r="G306" s="121">
        <v>0</v>
      </c>
      <c r="H306" s="122">
        <f t="shared" ref="H306" si="70">G306+F306+E306+D306</f>
        <v>0</v>
      </c>
    </row>
    <row r="307" spans="2:8" ht="20.100000000000001" customHeight="1">
      <c r="B307" s="120" t="s">
        <v>268</v>
      </c>
      <c r="C307" s="120" t="s">
        <v>1065</v>
      </c>
      <c r="D307" s="121">
        <v>0</v>
      </c>
      <c r="E307" s="121">
        <v>0</v>
      </c>
      <c r="F307" s="121">
        <v>0</v>
      </c>
      <c r="G307" s="121">
        <v>0</v>
      </c>
      <c r="H307" s="122">
        <f t="shared" ref="H307" si="71">G307+F307+E307+D307</f>
        <v>0</v>
      </c>
    </row>
    <row r="308" spans="2:8" ht="20.100000000000001" customHeight="1">
      <c r="B308" s="120" t="s">
        <v>270</v>
      </c>
      <c r="C308" s="120" t="s">
        <v>271</v>
      </c>
      <c r="D308" s="121">
        <v>0</v>
      </c>
      <c r="E308" s="121">
        <v>0</v>
      </c>
      <c r="F308" s="121">
        <v>0</v>
      </c>
      <c r="G308" s="121">
        <v>0</v>
      </c>
      <c r="H308" s="122">
        <f t="shared" si="63"/>
        <v>0</v>
      </c>
    </row>
    <row r="309" spans="2:8" ht="20.100000000000001" customHeight="1">
      <c r="B309" s="120" t="s">
        <v>433</v>
      </c>
      <c r="C309" s="120" t="s">
        <v>432</v>
      </c>
      <c r="D309" s="121">
        <v>0</v>
      </c>
      <c r="E309" s="121">
        <v>0</v>
      </c>
      <c r="F309" s="121">
        <v>0</v>
      </c>
      <c r="G309" s="121">
        <v>0</v>
      </c>
      <c r="H309" s="122">
        <f t="shared" si="63"/>
        <v>0</v>
      </c>
    </row>
    <row r="310" spans="2:8" ht="20.100000000000001" customHeight="1">
      <c r="B310" s="120" t="s">
        <v>434</v>
      </c>
      <c r="C310" s="120" t="s">
        <v>435</v>
      </c>
      <c r="D310" s="121">
        <v>0</v>
      </c>
      <c r="E310" s="121">
        <v>0</v>
      </c>
      <c r="F310" s="121">
        <v>0</v>
      </c>
      <c r="G310" s="121">
        <v>0</v>
      </c>
      <c r="H310" s="122">
        <f t="shared" si="63"/>
        <v>0</v>
      </c>
    </row>
    <row r="311" spans="2:8" ht="20.100000000000001" customHeight="1">
      <c r="B311" s="120" t="s">
        <v>434</v>
      </c>
      <c r="C311" s="120" t="s">
        <v>833</v>
      </c>
      <c r="D311" s="121">
        <v>0</v>
      </c>
      <c r="E311" s="121">
        <v>0</v>
      </c>
      <c r="F311" s="121">
        <v>0</v>
      </c>
      <c r="G311" s="121">
        <v>0</v>
      </c>
      <c r="H311" s="122">
        <f t="shared" si="63"/>
        <v>0</v>
      </c>
    </row>
    <row r="312" spans="2:8" ht="20.100000000000001" customHeight="1">
      <c r="B312" s="120" t="s">
        <v>437</v>
      </c>
      <c r="C312" s="120" t="s">
        <v>438</v>
      </c>
      <c r="D312" s="121">
        <v>0</v>
      </c>
      <c r="E312" s="121">
        <v>0</v>
      </c>
      <c r="F312" s="121">
        <v>0</v>
      </c>
      <c r="G312" s="121">
        <v>0</v>
      </c>
      <c r="H312" s="122">
        <f t="shared" si="63"/>
        <v>0</v>
      </c>
    </row>
    <row r="313" spans="2:8" ht="20.100000000000001" customHeight="1">
      <c r="B313" s="120" t="s">
        <v>440</v>
      </c>
      <c r="C313" s="120" t="s">
        <v>272</v>
      </c>
      <c r="D313" s="121">
        <v>0</v>
      </c>
      <c r="E313" s="121">
        <v>0</v>
      </c>
      <c r="F313" s="121">
        <v>0</v>
      </c>
      <c r="G313" s="121">
        <v>0</v>
      </c>
      <c r="H313" s="122">
        <f t="shared" si="63"/>
        <v>0</v>
      </c>
    </row>
    <row r="314" spans="2:8" ht="20.100000000000001" customHeight="1">
      <c r="B314" s="120" t="s">
        <v>441</v>
      </c>
      <c r="C314" s="120" t="s">
        <v>439</v>
      </c>
      <c r="D314" s="121">
        <v>0</v>
      </c>
      <c r="E314" s="121">
        <v>0</v>
      </c>
      <c r="F314" s="121">
        <v>0</v>
      </c>
      <c r="G314" s="121">
        <v>0</v>
      </c>
      <c r="H314" s="122">
        <f t="shared" si="63"/>
        <v>0</v>
      </c>
    </row>
    <row r="315" spans="2:8" ht="20.100000000000001" customHeight="1">
      <c r="B315" s="120" t="s">
        <v>442</v>
      </c>
      <c r="C315" s="120" t="s">
        <v>273</v>
      </c>
      <c r="D315" s="121">
        <v>0</v>
      </c>
      <c r="E315" s="121">
        <v>0</v>
      </c>
      <c r="F315" s="121">
        <v>0</v>
      </c>
      <c r="G315" s="121">
        <v>0</v>
      </c>
      <c r="H315" s="122">
        <f t="shared" si="63"/>
        <v>0</v>
      </c>
    </row>
    <row r="316" spans="2:8" ht="20.100000000000001" customHeight="1">
      <c r="B316" s="120" t="s">
        <v>442</v>
      </c>
      <c r="C316" s="120" t="s">
        <v>443</v>
      </c>
      <c r="D316" s="121">
        <v>0</v>
      </c>
      <c r="E316" s="121">
        <v>0</v>
      </c>
      <c r="F316" s="121">
        <v>0</v>
      </c>
      <c r="G316" s="121">
        <v>0</v>
      </c>
      <c r="H316" s="122">
        <f t="shared" si="63"/>
        <v>0</v>
      </c>
    </row>
    <row r="317" spans="2:8" ht="20.100000000000001" customHeight="1">
      <c r="B317" s="120" t="s">
        <v>274</v>
      </c>
      <c r="C317" s="120" t="s">
        <v>327</v>
      </c>
      <c r="D317" s="121">
        <v>0</v>
      </c>
      <c r="E317" s="121">
        <v>0</v>
      </c>
      <c r="F317" s="121">
        <v>0</v>
      </c>
      <c r="G317" s="121">
        <v>0</v>
      </c>
      <c r="H317" s="122">
        <f t="shared" si="63"/>
        <v>0</v>
      </c>
    </row>
    <row r="318" spans="2:8" ht="20.100000000000001" customHeight="1">
      <c r="B318" s="120" t="s">
        <v>274</v>
      </c>
      <c r="C318" s="120" t="s">
        <v>871</v>
      </c>
      <c r="D318" s="121">
        <v>0</v>
      </c>
      <c r="E318" s="121">
        <v>0</v>
      </c>
      <c r="F318" s="121">
        <v>0</v>
      </c>
      <c r="G318" s="121">
        <v>0</v>
      </c>
      <c r="H318" s="122">
        <f t="shared" ref="H318" si="72">G318+F318+E318+D318</f>
        <v>0</v>
      </c>
    </row>
    <row r="319" spans="2:8" ht="20.100000000000001" customHeight="1">
      <c r="B319" s="120" t="s">
        <v>274</v>
      </c>
      <c r="C319" s="120" t="s">
        <v>444</v>
      </c>
      <c r="D319" s="121">
        <v>0</v>
      </c>
      <c r="E319" s="121">
        <v>0</v>
      </c>
      <c r="F319" s="121">
        <v>0</v>
      </c>
      <c r="G319" s="121">
        <v>0</v>
      </c>
      <c r="H319" s="122">
        <f t="shared" si="63"/>
        <v>0</v>
      </c>
    </row>
    <row r="320" spans="2:8" ht="20.100000000000001" customHeight="1">
      <c r="B320" s="120" t="s">
        <v>808</v>
      </c>
      <c r="C320" s="120" t="s">
        <v>432</v>
      </c>
      <c r="D320" s="121">
        <v>0</v>
      </c>
      <c r="E320" s="121">
        <v>0</v>
      </c>
      <c r="F320" s="121">
        <v>0</v>
      </c>
      <c r="G320" s="121">
        <v>0</v>
      </c>
      <c r="H320" s="122">
        <f t="shared" ref="H320" si="73">G320+F320+E320+D320</f>
        <v>0</v>
      </c>
    </row>
    <row r="321" spans="2:8" ht="20.100000000000001" customHeight="1">
      <c r="B321" s="120" t="s">
        <v>573</v>
      </c>
      <c r="C321" s="120" t="s">
        <v>574</v>
      </c>
      <c r="D321" s="121">
        <v>0</v>
      </c>
      <c r="E321" s="121">
        <v>0</v>
      </c>
      <c r="F321" s="121">
        <v>0</v>
      </c>
      <c r="G321" s="121">
        <v>0</v>
      </c>
      <c r="H321" s="122">
        <f t="shared" ref="H321" si="74">G321+F321+E321+D321</f>
        <v>0</v>
      </c>
    </row>
    <row r="322" spans="2:8" ht="20.100000000000001" customHeight="1">
      <c r="B322" s="120" t="s">
        <v>695</v>
      </c>
      <c r="C322" s="120" t="s">
        <v>696</v>
      </c>
      <c r="D322" s="121">
        <v>0</v>
      </c>
      <c r="E322" s="121">
        <v>0</v>
      </c>
      <c r="F322" s="121">
        <v>0</v>
      </c>
      <c r="G322" s="121">
        <v>0</v>
      </c>
      <c r="H322" s="122">
        <f t="shared" si="63"/>
        <v>0</v>
      </c>
    </row>
    <row r="323" spans="2:8" ht="20.100000000000001" customHeight="1">
      <c r="B323" s="120" t="s">
        <v>575</v>
      </c>
      <c r="C323" s="120" t="s">
        <v>576</v>
      </c>
      <c r="D323" s="121">
        <v>0</v>
      </c>
      <c r="E323" s="121">
        <v>0</v>
      </c>
      <c r="F323" s="121">
        <v>0</v>
      </c>
      <c r="G323" s="121">
        <v>0</v>
      </c>
      <c r="H323" s="122">
        <f t="shared" si="63"/>
        <v>0</v>
      </c>
    </row>
    <row r="324" spans="2:8" ht="20.100000000000001" customHeight="1">
      <c r="B324" s="120" t="s">
        <v>577</v>
      </c>
      <c r="C324" s="120" t="s">
        <v>578</v>
      </c>
      <c r="D324" s="121">
        <v>0</v>
      </c>
      <c r="E324" s="121">
        <v>0</v>
      </c>
      <c r="F324" s="121">
        <v>0</v>
      </c>
      <c r="G324" s="121">
        <v>0</v>
      </c>
      <c r="H324" s="122">
        <f t="shared" si="63"/>
        <v>0</v>
      </c>
    </row>
    <row r="325" spans="2:8" ht="20.100000000000001" customHeight="1">
      <c r="B325" s="120" t="s">
        <v>691</v>
      </c>
      <c r="C325" s="120" t="s">
        <v>692</v>
      </c>
      <c r="D325" s="121">
        <v>0</v>
      </c>
      <c r="E325" s="121">
        <v>0</v>
      </c>
      <c r="F325" s="121">
        <v>0</v>
      </c>
      <c r="G325" s="121">
        <v>0</v>
      </c>
      <c r="H325" s="122">
        <f t="shared" ref="H325" si="75">G325+F325+E325+D325</f>
        <v>0</v>
      </c>
    </row>
    <row r="326" spans="2:8" ht="20.100000000000001" customHeight="1">
      <c r="B326" s="120" t="s">
        <v>693</v>
      </c>
      <c r="C326" s="120" t="s">
        <v>694</v>
      </c>
      <c r="D326" s="121">
        <v>0</v>
      </c>
      <c r="E326" s="121">
        <v>0</v>
      </c>
      <c r="F326" s="121">
        <v>0</v>
      </c>
      <c r="G326" s="121">
        <v>0</v>
      </c>
      <c r="H326" s="122">
        <f t="shared" si="63"/>
        <v>0</v>
      </c>
    </row>
    <row r="327" spans="2:8" ht="20.100000000000001" customHeight="1">
      <c r="B327" s="120" t="s">
        <v>697</v>
      </c>
      <c r="C327" s="120" t="s">
        <v>698</v>
      </c>
      <c r="D327" s="121">
        <v>0</v>
      </c>
      <c r="E327" s="121">
        <v>0</v>
      </c>
      <c r="F327" s="121">
        <v>0</v>
      </c>
      <c r="G327" s="121">
        <v>0</v>
      </c>
      <c r="H327" s="122">
        <f t="shared" ref="H327:H329" si="76">G327+F327+E327+D327</f>
        <v>0</v>
      </c>
    </row>
    <row r="328" spans="2:8" ht="20.100000000000001" customHeight="1">
      <c r="B328" s="120" t="s">
        <v>924</v>
      </c>
      <c r="C328" s="120" t="s">
        <v>925</v>
      </c>
      <c r="D328" s="121">
        <v>0</v>
      </c>
      <c r="E328" s="121">
        <v>0</v>
      </c>
      <c r="F328" s="121">
        <v>0</v>
      </c>
      <c r="G328" s="121">
        <v>0</v>
      </c>
      <c r="H328" s="122">
        <f t="shared" ref="H328" si="77">G328+F328+E328+D328</f>
        <v>0</v>
      </c>
    </row>
    <row r="329" spans="2:8" ht="20.100000000000001" customHeight="1">
      <c r="B329" s="120" t="s">
        <v>807</v>
      </c>
      <c r="C329" s="120" t="s">
        <v>798</v>
      </c>
      <c r="D329" s="121">
        <v>0</v>
      </c>
      <c r="E329" s="121">
        <v>0</v>
      </c>
      <c r="F329" s="121">
        <v>0</v>
      </c>
      <c r="G329" s="121">
        <v>0</v>
      </c>
      <c r="H329" s="122">
        <f t="shared" si="76"/>
        <v>0</v>
      </c>
    </row>
    <row r="330" spans="2:8" ht="20.100000000000001" customHeight="1">
      <c r="B330" s="120" t="s">
        <v>797</v>
      </c>
      <c r="C330" s="120" t="s">
        <v>798</v>
      </c>
      <c r="D330" s="121">
        <v>0</v>
      </c>
      <c r="E330" s="121">
        <v>0</v>
      </c>
      <c r="F330" s="121">
        <v>0</v>
      </c>
      <c r="G330" s="121">
        <v>0</v>
      </c>
      <c r="H330" s="122">
        <f t="shared" si="63"/>
        <v>0</v>
      </c>
    </row>
    <row r="331" spans="2:8" ht="20.100000000000001" customHeight="1">
      <c r="B331" s="120" t="s">
        <v>153</v>
      </c>
      <c r="C331" s="120" t="s">
        <v>25</v>
      </c>
      <c r="D331" s="121">
        <v>0</v>
      </c>
      <c r="E331" s="121">
        <v>0</v>
      </c>
      <c r="F331" s="121">
        <v>0</v>
      </c>
      <c r="G331" s="121">
        <v>0</v>
      </c>
      <c r="H331" s="122">
        <f t="shared" si="63"/>
        <v>0</v>
      </c>
    </row>
    <row r="332" spans="2:8" ht="20.100000000000001" customHeight="1">
      <c r="B332" s="120" t="s">
        <v>26</v>
      </c>
      <c r="C332" s="120" t="s">
        <v>27</v>
      </c>
      <c r="D332" s="121">
        <v>0</v>
      </c>
      <c r="E332" s="121">
        <v>0</v>
      </c>
      <c r="F332" s="121">
        <v>0</v>
      </c>
      <c r="G332" s="121">
        <v>0</v>
      </c>
      <c r="H332" s="122">
        <f t="shared" si="63"/>
        <v>0</v>
      </c>
    </row>
    <row r="333" spans="2:8" ht="20.100000000000001" customHeight="1">
      <c r="B333" s="120" t="s">
        <v>983</v>
      </c>
      <c r="C333" s="129" t="s">
        <v>984</v>
      </c>
      <c r="D333" s="121">
        <v>0</v>
      </c>
      <c r="E333" s="121">
        <v>0</v>
      </c>
      <c r="F333" s="121">
        <v>0</v>
      </c>
      <c r="G333" s="121">
        <v>0</v>
      </c>
      <c r="H333" s="122">
        <f t="shared" ref="H333" si="78">G333+F333+E333+D333</f>
        <v>0</v>
      </c>
    </row>
    <row r="334" spans="2:8" ht="20.100000000000001" customHeight="1">
      <c r="B334" s="120" t="s">
        <v>295</v>
      </c>
      <c r="C334" s="129" t="s">
        <v>296</v>
      </c>
      <c r="D334" s="121">
        <v>0</v>
      </c>
      <c r="E334" s="121">
        <v>0</v>
      </c>
      <c r="F334" s="121">
        <v>0</v>
      </c>
      <c r="G334" s="121">
        <v>0</v>
      </c>
      <c r="H334" s="122">
        <f t="shared" si="63"/>
        <v>0</v>
      </c>
    </row>
    <row r="335" spans="2:8" ht="20.100000000000001" customHeight="1">
      <c r="B335" s="120" t="s">
        <v>661</v>
      </c>
      <c r="C335" s="120" t="s">
        <v>168</v>
      </c>
      <c r="D335" s="121">
        <v>0</v>
      </c>
      <c r="E335" s="121">
        <v>0</v>
      </c>
      <c r="F335" s="121">
        <v>0</v>
      </c>
      <c r="G335" s="121">
        <v>0</v>
      </c>
      <c r="H335" s="122">
        <f t="shared" si="63"/>
        <v>0</v>
      </c>
    </row>
    <row r="336" spans="2:8" ht="20.100000000000001" customHeight="1">
      <c r="B336" s="120" t="s">
        <v>28</v>
      </c>
      <c r="C336" s="120" t="s">
        <v>162</v>
      </c>
      <c r="D336" s="121">
        <v>0</v>
      </c>
      <c r="E336" s="121">
        <v>0</v>
      </c>
      <c r="F336" s="121">
        <v>0</v>
      </c>
      <c r="G336" s="121">
        <v>0</v>
      </c>
      <c r="H336" s="122">
        <f t="shared" si="63"/>
        <v>0</v>
      </c>
    </row>
    <row r="337" spans="2:8" ht="20.100000000000001" customHeight="1">
      <c r="B337" s="120" t="s">
        <v>298</v>
      </c>
      <c r="C337" s="120" t="s">
        <v>299</v>
      </c>
      <c r="D337" s="121">
        <v>0</v>
      </c>
      <c r="E337" s="121">
        <v>0</v>
      </c>
      <c r="F337" s="121">
        <v>0</v>
      </c>
      <c r="G337" s="121">
        <v>0</v>
      </c>
      <c r="H337" s="122">
        <f t="shared" si="63"/>
        <v>0</v>
      </c>
    </row>
    <row r="338" spans="2:8" ht="20.100000000000001" customHeight="1">
      <c r="B338" s="120" t="s">
        <v>29</v>
      </c>
      <c r="C338" s="129" t="s">
        <v>30</v>
      </c>
      <c r="D338" s="121">
        <v>0</v>
      </c>
      <c r="E338" s="121">
        <v>0</v>
      </c>
      <c r="F338" s="121">
        <v>0</v>
      </c>
      <c r="G338" s="121">
        <v>0</v>
      </c>
      <c r="H338" s="122">
        <f t="shared" si="63"/>
        <v>0</v>
      </c>
    </row>
    <row r="339" spans="2:8" ht="20.100000000000001" customHeight="1">
      <c r="B339" s="120" t="s">
        <v>802</v>
      </c>
      <c r="C339" s="129" t="s">
        <v>726</v>
      </c>
      <c r="D339" s="121">
        <v>0</v>
      </c>
      <c r="E339" s="121">
        <v>0</v>
      </c>
      <c r="F339" s="121">
        <v>0</v>
      </c>
      <c r="G339" s="121">
        <v>0</v>
      </c>
      <c r="H339" s="122">
        <f t="shared" si="63"/>
        <v>0</v>
      </c>
    </row>
    <row r="340" spans="2:8" ht="20.100000000000001" customHeight="1">
      <c r="B340" s="120" t="s">
        <v>802</v>
      </c>
      <c r="C340" s="129" t="s">
        <v>728</v>
      </c>
      <c r="D340" s="121">
        <v>0</v>
      </c>
      <c r="E340" s="121">
        <v>0</v>
      </c>
      <c r="F340" s="121">
        <v>0</v>
      </c>
      <c r="G340" s="121">
        <v>0</v>
      </c>
      <c r="H340" s="122">
        <f t="shared" si="63"/>
        <v>0</v>
      </c>
    </row>
    <row r="341" spans="2:8" ht="20.100000000000001" customHeight="1">
      <c r="B341" s="120" t="s">
        <v>940</v>
      </c>
      <c r="C341" s="129" t="s">
        <v>937</v>
      </c>
      <c r="D341" s="121">
        <v>0</v>
      </c>
      <c r="E341" s="121">
        <v>0</v>
      </c>
      <c r="F341" s="121">
        <v>0</v>
      </c>
      <c r="G341" s="121">
        <v>0</v>
      </c>
      <c r="H341" s="122">
        <f t="shared" si="63"/>
        <v>0</v>
      </c>
    </row>
    <row r="342" spans="2:8" ht="20.100000000000001" customHeight="1">
      <c r="B342" s="120" t="s">
        <v>880</v>
      </c>
      <c r="C342" s="129" t="s">
        <v>873</v>
      </c>
      <c r="D342" s="121">
        <v>0</v>
      </c>
      <c r="E342" s="121">
        <v>0</v>
      </c>
      <c r="F342" s="121">
        <v>0</v>
      </c>
      <c r="G342" s="121">
        <v>0</v>
      </c>
      <c r="H342" s="122">
        <f t="shared" si="63"/>
        <v>0</v>
      </c>
    </row>
    <row r="343" spans="2:8" ht="20.100000000000001" customHeight="1">
      <c r="B343" s="120" t="s">
        <v>20</v>
      </c>
      <c r="C343" s="129" t="s">
        <v>24</v>
      </c>
      <c r="D343" s="121">
        <v>0</v>
      </c>
      <c r="E343" s="121">
        <v>0</v>
      </c>
      <c r="F343" s="121">
        <v>0</v>
      </c>
      <c r="G343" s="121">
        <v>0</v>
      </c>
      <c r="H343" s="122">
        <f t="shared" ref="H343:H357" si="79">G343+F343+E343+D343</f>
        <v>0</v>
      </c>
    </row>
    <row r="344" spans="2:8" ht="20.100000000000001" customHeight="1">
      <c r="B344" s="120" t="s">
        <v>20</v>
      </c>
      <c r="C344" s="129" t="s">
        <v>25</v>
      </c>
      <c r="D344" s="121">
        <v>0</v>
      </c>
      <c r="E344" s="121">
        <v>0</v>
      </c>
      <c r="F344" s="121">
        <v>0</v>
      </c>
      <c r="G344" s="121">
        <v>0</v>
      </c>
      <c r="H344" s="122">
        <f t="shared" si="79"/>
        <v>0</v>
      </c>
    </row>
    <row r="345" spans="2:8" ht="20.100000000000001" customHeight="1">
      <c r="B345" s="120" t="s">
        <v>471</v>
      </c>
      <c r="C345" s="129" t="s">
        <v>472</v>
      </c>
      <c r="D345" s="121">
        <v>0</v>
      </c>
      <c r="E345" s="121">
        <v>0</v>
      </c>
      <c r="F345" s="121">
        <v>0</v>
      </c>
      <c r="G345" s="121">
        <v>0</v>
      </c>
      <c r="H345" s="122">
        <f t="shared" si="79"/>
        <v>0</v>
      </c>
    </row>
    <row r="346" spans="2:8" ht="20.100000000000001" customHeight="1">
      <c r="B346" s="120" t="s">
        <v>33</v>
      </c>
      <c r="C346" s="129" t="s">
        <v>180</v>
      </c>
      <c r="D346" s="121">
        <v>0</v>
      </c>
      <c r="E346" s="121"/>
      <c r="F346" s="121">
        <v>0</v>
      </c>
      <c r="G346" s="121">
        <v>0</v>
      </c>
      <c r="H346" s="122">
        <f t="shared" si="79"/>
        <v>0</v>
      </c>
    </row>
    <row r="347" spans="2:8" ht="20.100000000000001" customHeight="1">
      <c r="B347" s="120" t="s">
        <v>33</v>
      </c>
      <c r="C347" s="129" t="s">
        <v>169</v>
      </c>
      <c r="D347" s="121">
        <v>0</v>
      </c>
      <c r="E347" s="121"/>
      <c r="F347" s="121">
        <v>0</v>
      </c>
      <c r="G347" s="121">
        <v>0</v>
      </c>
      <c r="H347" s="122">
        <f t="shared" si="79"/>
        <v>0</v>
      </c>
    </row>
    <row r="348" spans="2:8" ht="20.100000000000001" customHeight="1">
      <c r="B348" s="120" t="s">
        <v>33</v>
      </c>
      <c r="C348" s="129" t="s">
        <v>181</v>
      </c>
      <c r="D348" s="121">
        <v>0</v>
      </c>
      <c r="E348" s="121"/>
      <c r="F348" s="121">
        <v>0</v>
      </c>
      <c r="G348" s="121">
        <v>0</v>
      </c>
      <c r="H348" s="122">
        <f t="shared" si="79"/>
        <v>0</v>
      </c>
    </row>
    <row r="349" spans="2:8" ht="20.100000000000001" customHeight="1">
      <c r="B349" s="120" t="s">
        <v>33</v>
      </c>
      <c r="C349" s="129" t="s">
        <v>165</v>
      </c>
      <c r="D349" s="121">
        <v>0</v>
      </c>
      <c r="E349" s="121">
        <v>0</v>
      </c>
      <c r="F349" s="121">
        <v>0</v>
      </c>
      <c r="G349" s="121">
        <v>0</v>
      </c>
      <c r="H349" s="122">
        <f t="shared" si="79"/>
        <v>0</v>
      </c>
    </row>
    <row r="350" spans="2:8" ht="20.100000000000001" customHeight="1">
      <c r="B350" s="120" t="s">
        <v>804</v>
      </c>
      <c r="C350" s="120" t="s">
        <v>805</v>
      </c>
      <c r="D350" s="121">
        <v>0</v>
      </c>
      <c r="E350" s="121">
        <v>0</v>
      </c>
      <c r="F350" s="121">
        <v>0</v>
      </c>
      <c r="G350" s="121">
        <v>0</v>
      </c>
      <c r="H350" s="122">
        <f t="shared" ref="H350" si="80">G350+F350+E350+D350</f>
        <v>0</v>
      </c>
    </row>
    <row r="351" spans="2:8" ht="20.100000000000001" customHeight="1">
      <c r="B351" s="120" t="s">
        <v>178</v>
      </c>
      <c r="C351" s="120" t="s">
        <v>179</v>
      </c>
      <c r="D351" s="121">
        <v>0</v>
      </c>
      <c r="E351" s="121">
        <v>0</v>
      </c>
      <c r="F351" s="121">
        <v>0</v>
      </c>
      <c r="G351" s="121">
        <v>0</v>
      </c>
      <c r="H351" s="122">
        <f t="shared" si="79"/>
        <v>0</v>
      </c>
    </row>
    <row r="352" spans="2:8" ht="20.100000000000001" customHeight="1">
      <c r="B352" s="120" t="s">
        <v>1092</v>
      </c>
      <c r="C352" s="120" t="s">
        <v>1093</v>
      </c>
      <c r="D352" s="121">
        <v>0</v>
      </c>
      <c r="E352" s="121">
        <v>0</v>
      </c>
      <c r="F352" s="121">
        <v>0</v>
      </c>
      <c r="G352" s="121">
        <v>0</v>
      </c>
      <c r="H352" s="122">
        <f t="shared" ref="H352" si="81">G352+F352+E352+D352</f>
        <v>0</v>
      </c>
    </row>
    <row r="353" spans="2:8" ht="20.100000000000001" customHeight="1">
      <c r="B353" s="120" t="s">
        <v>786</v>
      </c>
      <c r="C353" s="120" t="s">
        <v>877</v>
      </c>
      <c r="D353" s="121">
        <v>0</v>
      </c>
      <c r="E353" s="121">
        <v>0</v>
      </c>
      <c r="F353" s="121">
        <v>0</v>
      </c>
      <c r="G353" s="121">
        <v>0</v>
      </c>
      <c r="H353" s="122">
        <f t="shared" si="79"/>
        <v>0</v>
      </c>
    </row>
    <row r="354" spans="2:8" ht="20.100000000000001" customHeight="1">
      <c r="B354" s="120" t="s">
        <v>35</v>
      </c>
      <c r="C354" s="120" t="s">
        <v>36</v>
      </c>
      <c r="D354" s="121">
        <v>0</v>
      </c>
      <c r="E354" s="121">
        <v>0</v>
      </c>
      <c r="F354" s="121">
        <v>0</v>
      </c>
      <c r="G354" s="121">
        <v>0</v>
      </c>
      <c r="H354" s="122">
        <f t="shared" si="79"/>
        <v>0</v>
      </c>
    </row>
    <row r="355" spans="2:8" ht="20.100000000000001" customHeight="1">
      <c r="B355" s="120" t="s">
        <v>35</v>
      </c>
      <c r="C355" s="120" t="s">
        <v>37</v>
      </c>
      <c r="D355" s="121">
        <v>0</v>
      </c>
      <c r="E355" s="121">
        <v>0</v>
      </c>
      <c r="F355" s="121">
        <v>0</v>
      </c>
      <c r="G355" s="121">
        <v>0</v>
      </c>
      <c r="H355" s="122">
        <f t="shared" si="79"/>
        <v>0</v>
      </c>
    </row>
    <row r="356" spans="2:8" ht="20.100000000000001" customHeight="1">
      <c r="B356" s="120" t="s">
        <v>166</v>
      </c>
      <c r="C356" s="120" t="s">
        <v>167</v>
      </c>
      <c r="D356" s="121">
        <v>0</v>
      </c>
      <c r="E356" s="121">
        <v>0</v>
      </c>
      <c r="F356" s="121">
        <v>0</v>
      </c>
      <c r="G356" s="121">
        <v>0</v>
      </c>
      <c r="H356" s="122">
        <f t="shared" si="79"/>
        <v>0</v>
      </c>
    </row>
    <row r="357" spans="2:8" ht="20.100000000000001" customHeight="1">
      <c r="B357" s="126" t="s">
        <v>277</v>
      </c>
      <c r="C357" s="126" t="s">
        <v>278</v>
      </c>
      <c r="D357" s="127">
        <v>0</v>
      </c>
      <c r="E357" s="127">
        <v>0</v>
      </c>
      <c r="F357" s="127">
        <v>0</v>
      </c>
      <c r="G357" s="127">
        <v>0</v>
      </c>
      <c r="H357" s="128">
        <f t="shared" si="79"/>
        <v>0</v>
      </c>
    </row>
    <row r="358" spans="2:8" ht="15.75">
      <c r="B358" s="304" t="s">
        <v>38</v>
      </c>
      <c r="C358" s="305"/>
      <c r="D358" s="40">
        <f>SUM(D257:D357)</f>
        <v>0</v>
      </c>
      <c r="E358" s="40">
        <f>SUM(E257:E357)</f>
        <v>0</v>
      </c>
      <c r="F358" s="40">
        <f>SUM(F257:F357)</f>
        <v>0</v>
      </c>
      <c r="G358" s="40">
        <f>SUM(G257:G357)</f>
        <v>0</v>
      </c>
      <c r="H358" s="40">
        <f>SUM(H257:H357)</f>
        <v>0</v>
      </c>
    </row>
    <row r="359" spans="2:8" ht="15.75">
      <c r="B359" s="294" t="s">
        <v>39</v>
      </c>
      <c r="C359" s="295"/>
      <c r="D359" s="36">
        <f>D358+D255</f>
        <v>0</v>
      </c>
      <c r="E359" s="36">
        <f>E358+E255</f>
        <v>0</v>
      </c>
      <c r="F359" s="36">
        <f>F358+F255</f>
        <v>0</v>
      </c>
      <c r="G359" s="36">
        <f>G358+G255</f>
        <v>0</v>
      </c>
      <c r="H359" s="36">
        <f>H358+H255</f>
        <v>0</v>
      </c>
    </row>
    <row r="360" spans="2:8" ht="15.75">
      <c r="B360" s="15"/>
      <c r="C360" s="15"/>
      <c r="D360" s="16"/>
      <c r="E360" s="16"/>
      <c r="F360" s="16"/>
      <c r="G360" s="16"/>
      <c r="H360" s="16"/>
    </row>
    <row r="361" spans="2:8" ht="20.100000000000001" customHeight="1">
      <c r="B361" s="100" t="s">
        <v>41</v>
      </c>
      <c r="C361" s="100"/>
      <c r="D361" s="100"/>
      <c r="E361" s="110"/>
      <c r="F361" s="100"/>
      <c r="G361" s="100"/>
      <c r="H361" s="100"/>
    </row>
    <row r="362" spans="2:8" ht="20.100000000000001" customHeight="1">
      <c r="B362" s="120" t="s">
        <v>358</v>
      </c>
      <c r="C362" s="129" t="s">
        <v>359</v>
      </c>
      <c r="D362" s="121">
        <v>0</v>
      </c>
      <c r="E362" s="121">
        <v>0</v>
      </c>
      <c r="F362" s="121">
        <v>0</v>
      </c>
      <c r="G362" s="121">
        <v>0</v>
      </c>
      <c r="H362" s="122">
        <f t="shared" ref="H362:H440" si="82">G362+F362+E362+D362</f>
        <v>0</v>
      </c>
    </row>
    <row r="363" spans="2:8" ht="20.100000000000001" customHeight="1">
      <c r="B363" s="120" t="s">
        <v>42</v>
      </c>
      <c r="C363" s="129" t="s">
        <v>43</v>
      </c>
      <c r="D363" s="121">
        <v>0</v>
      </c>
      <c r="E363" s="121">
        <v>0</v>
      </c>
      <c r="F363" s="121">
        <v>0</v>
      </c>
      <c r="G363" s="121">
        <v>0</v>
      </c>
      <c r="H363" s="122">
        <f t="shared" si="82"/>
        <v>0</v>
      </c>
    </row>
    <row r="364" spans="2:8" ht="20.100000000000001" customHeight="1">
      <c r="B364" s="120" t="s">
        <v>799</v>
      </c>
      <c r="C364" s="129" t="s">
        <v>744</v>
      </c>
      <c r="D364" s="121">
        <v>0</v>
      </c>
      <c r="E364" s="121">
        <v>0</v>
      </c>
      <c r="F364" s="121">
        <v>0</v>
      </c>
      <c r="G364" s="121">
        <v>0</v>
      </c>
      <c r="H364" s="122">
        <f t="shared" si="82"/>
        <v>0</v>
      </c>
    </row>
    <row r="365" spans="2:8" ht="20.100000000000001" customHeight="1">
      <c r="B365" s="120" t="s">
        <v>234</v>
      </c>
      <c r="C365" s="129" t="s">
        <v>235</v>
      </c>
      <c r="D365" s="121">
        <v>0</v>
      </c>
      <c r="E365" s="121">
        <v>0</v>
      </c>
      <c r="F365" s="121">
        <v>0</v>
      </c>
      <c r="G365" s="121">
        <v>0</v>
      </c>
      <c r="H365" s="122">
        <f t="shared" si="82"/>
        <v>0</v>
      </c>
    </row>
    <row r="366" spans="2:8" ht="20.100000000000001" customHeight="1">
      <c r="B366" s="120" t="s">
        <v>236</v>
      </c>
      <c r="C366" s="129" t="s">
        <v>237</v>
      </c>
      <c r="D366" s="121">
        <v>0</v>
      </c>
      <c r="E366" s="121">
        <v>0</v>
      </c>
      <c r="F366" s="121">
        <v>0</v>
      </c>
      <c r="G366" s="121">
        <v>0</v>
      </c>
      <c r="H366" s="122">
        <f t="shared" si="82"/>
        <v>0</v>
      </c>
    </row>
    <row r="367" spans="2:8" ht="20.100000000000001" customHeight="1">
      <c r="B367" s="120" t="s">
        <v>779</v>
      </c>
      <c r="C367" s="129" t="s">
        <v>780</v>
      </c>
      <c r="D367" s="121">
        <v>0</v>
      </c>
      <c r="E367" s="121">
        <v>0</v>
      </c>
      <c r="F367" s="121">
        <v>0</v>
      </c>
      <c r="G367" s="121">
        <v>0</v>
      </c>
      <c r="H367" s="122">
        <f t="shared" ref="H367" si="83">G367+F367+E367+D367</f>
        <v>0</v>
      </c>
    </row>
    <row r="368" spans="2:8" ht="20.100000000000001" customHeight="1">
      <c r="B368" s="120" t="s">
        <v>238</v>
      </c>
      <c r="C368" s="129" t="s">
        <v>239</v>
      </c>
      <c r="D368" s="121">
        <v>0</v>
      </c>
      <c r="E368" s="121">
        <v>0</v>
      </c>
      <c r="F368" s="121">
        <v>0</v>
      </c>
      <c r="G368" s="121">
        <v>0</v>
      </c>
      <c r="H368" s="122">
        <f t="shared" si="82"/>
        <v>0</v>
      </c>
    </row>
    <row r="369" spans="2:8" ht="20.100000000000001" customHeight="1">
      <c r="B369" s="120" t="s">
        <v>238</v>
      </c>
      <c r="C369" s="129" t="s">
        <v>240</v>
      </c>
      <c r="D369" s="121">
        <v>0</v>
      </c>
      <c r="E369" s="121">
        <v>0</v>
      </c>
      <c r="F369" s="121">
        <v>0</v>
      </c>
      <c r="G369" s="121">
        <v>0</v>
      </c>
      <c r="H369" s="122">
        <f t="shared" si="82"/>
        <v>0</v>
      </c>
    </row>
    <row r="370" spans="2:8" ht="20.100000000000001" customHeight="1">
      <c r="B370" s="120" t="s">
        <v>241</v>
      </c>
      <c r="C370" s="129" t="s">
        <v>242</v>
      </c>
      <c r="D370" s="121">
        <v>0</v>
      </c>
      <c r="E370" s="121">
        <v>0</v>
      </c>
      <c r="F370" s="121">
        <v>0</v>
      </c>
      <c r="G370" s="121">
        <v>0</v>
      </c>
      <c r="H370" s="122">
        <f t="shared" si="82"/>
        <v>0</v>
      </c>
    </row>
    <row r="371" spans="2:8" ht="20.100000000000001" customHeight="1">
      <c r="B371" s="120" t="s">
        <v>781</v>
      </c>
      <c r="C371" s="129" t="s">
        <v>782</v>
      </c>
      <c r="D371" s="121">
        <v>0</v>
      </c>
      <c r="E371" s="121">
        <v>0</v>
      </c>
      <c r="F371" s="121">
        <v>0</v>
      </c>
      <c r="G371" s="121">
        <v>0</v>
      </c>
      <c r="H371" s="122">
        <f t="shared" si="82"/>
        <v>0</v>
      </c>
    </row>
    <row r="372" spans="2:8" ht="20.100000000000001" customHeight="1">
      <c r="B372" s="120" t="s">
        <v>243</v>
      </c>
      <c r="C372" s="129" t="s">
        <v>244</v>
      </c>
      <c r="D372" s="121">
        <v>0</v>
      </c>
      <c r="E372" s="121">
        <v>0</v>
      </c>
      <c r="F372" s="121">
        <v>0</v>
      </c>
      <c r="G372" s="121">
        <v>0</v>
      </c>
      <c r="H372" s="122">
        <f t="shared" si="82"/>
        <v>0</v>
      </c>
    </row>
    <row r="373" spans="2:8" ht="20.100000000000001" customHeight="1">
      <c r="B373" s="120" t="s">
        <v>245</v>
      </c>
      <c r="C373" s="129" t="s">
        <v>246</v>
      </c>
      <c r="D373" s="121">
        <v>0</v>
      </c>
      <c r="E373" s="121">
        <v>0</v>
      </c>
      <c r="F373" s="121">
        <v>0</v>
      </c>
      <c r="G373" s="121">
        <v>0</v>
      </c>
      <c r="H373" s="122">
        <f t="shared" si="82"/>
        <v>0</v>
      </c>
    </row>
    <row r="374" spans="2:8" ht="20.100000000000001" customHeight="1">
      <c r="B374" s="120" t="s">
        <v>777</v>
      </c>
      <c r="C374" s="129" t="s">
        <v>778</v>
      </c>
      <c r="D374" s="121">
        <v>0</v>
      </c>
      <c r="E374" s="121">
        <v>0</v>
      </c>
      <c r="F374" s="121">
        <v>0</v>
      </c>
      <c r="G374" s="121">
        <v>0</v>
      </c>
      <c r="H374" s="122">
        <f t="shared" si="82"/>
        <v>0</v>
      </c>
    </row>
    <row r="375" spans="2:8" ht="20.100000000000001" customHeight="1">
      <c r="B375" s="120" t="s">
        <v>1059</v>
      </c>
      <c r="C375" s="129" t="s">
        <v>1060</v>
      </c>
      <c r="D375" s="121">
        <v>0</v>
      </c>
      <c r="E375" s="121">
        <v>0</v>
      </c>
      <c r="F375" s="121">
        <v>0</v>
      </c>
      <c r="G375" s="121">
        <v>0</v>
      </c>
      <c r="H375" s="122">
        <f t="shared" ref="H375" si="84">G375+F375+E375+D375</f>
        <v>0</v>
      </c>
    </row>
    <row r="376" spans="2:8" ht="20.100000000000001" customHeight="1">
      <c r="B376" s="120" t="s">
        <v>593</v>
      </c>
      <c r="C376" s="129" t="s">
        <v>594</v>
      </c>
      <c r="D376" s="121">
        <v>0</v>
      </c>
      <c r="E376" s="121">
        <v>0</v>
      </c>
      <c r="F376" s="121">
        <v>0</v>
      </c>
      <c r="G376" s="121">
        <v>0</v>
      </c>
      <c r="H376" s="122">
        <f t="shared" si="82"/>
        <v>0</v>
      </c>
    </row>
    <row r="377" spans="2:8" ht="20.100000000000001" customHeight="1">
      <c r="B377" s="120" t="s">
        <v>377</v>
      </c>
      <c r="C377" s="129" t="s">
        <v>513</v>
      </c>
      <c r="D377" s="121">
        <v>0</v>
      </c>
      <c r="E377" s="121">
        <v>0</v>
      </c>
      <c r="F377" s="121">
        <v>0</v>
      </c>
      <c r="G377" s="121">
        <v>0</v>
      </c>
      <c r="H377" s="122">
        <f t="shared" si="82"/>
        <v>0</v>
      </c>
    </row>
    <row r="378" spans="2:8" ht="20.100000000000001" customHeight="1">
      <c r="B378" s="120" t="s">
        <v>247</v>
      </c>
      <c r="C378" s="129" t="s">
        <v>512</v>
      </c>
      <c r="D378" s="121">
        <v>0</v>
      </c>
      <c r="E378" s="121">
        <v>0</v>
      </c>
      <c r="F378" s="121">
        <v>0</v>
      </c>
      <c r="G378" s="121">
        <v>0</v>
      </c>
      <c r="H378" s="122">
        <f t="shared" si="82"/>
        <v>0</v>
      </c>
    </row>
    <row r="379" spans="2:8" ht="20.100000000000001" customHeight="1">
      <c r="B379" s="120" t="s">
        <v>247</v>
      </c>
      <c r="C379" s="129" t="s">
        <v>378</v>
      </c>
      <c r="D379" s="121">
        <v>0</v>
      </c>
      <c r="E379" s="121">
        <v>0</v>
      </c>
      <c r="F379" s="121">
        <v>0</v>
      </c>
      <c r="G379" s="121">
        <v>0</v>
      </c>
      <c r="H379" s="122">
        <f t="shared" si="82"/>
        <v>0</v>
      </c>
    </row>
    <row r="380" spans="2:8" ht="20.100000000000001" customHeight="1">
      <c r="B380" s="120" t="s">
        <v>761</v>
      </c>
      <c r="C380" s="129" t="s">
        <v>1021</v>
      </c>
      <c r="D380" s="121">
        <v>0</v>
      </c>
      <c r="E380" s="121">
        <v>0</v>
      </c>
      <c r="F380" s="121">
        <v>0</v>
      </c>
      <c r="G380" s="121">
        <v>0</v>
      </c>
      <c r="H380" s="122">
        <f t="shared" ref="H380" si="85">G380+F380+E380+D380</f>
        <v>0</v>
      </c>
    </row>
    <row r="381" spans="2:8" ht="20.100000000000001" customHeight="1">
      <c r="B381" s="120" t="s">
        <v>310</v>
      </c>
      <c r="C381" s="129" t="s">
        <v>311</v>
      </c>
      <c r="D381" s="121"/>
      <c r="E381" s="121">
        <v>0</v>
      </c>
      <c r="F381" s="121">
        <v>0</v>
      </c>
      <c r="G381" s="121">
        <v>0</v>
      </c>
      <c r="H381" s="122">
        <f t="shared" si="82"/>
        <v>0</v>
      </c>
    </row>
    <row r="382" spans="2:8" ht="20.100000000000001" customHeight="1">
      <c r="B382" s="120" t="s">
        <v>312</v>
      </c>
      <c r="C382" s="129" t="s">
        <v>313</v>
      </c>
      <c r="D382" s="121"/>
      <c r="E382" s="121">
        <v>0</v>
      </c>
      <c r="F382" s="121">
        <v>0</v>
      </c>
      <c r="G382" s="121">
        <v>0</v>
      </c>
      <c r="H382" s="122">
        <f t="shared" si="82"/>
        <v>0</v>
      </c>
    </row>
    <row r="383" spans="2:8" ht="20.100000000000001" customHeight="1">
      <c r="B383" s="120" t="s">
        <v>762</v>
      </c>
      <c r="C383" s="129" t="s">
        <v>313</v>
      </c>
      <c r="D383" s="121">
        <v>0</v>
      </c>
      <c r="E383" s="121">
        <v>0</v>
      </c>
      <c r="F383" s="121">
        <v>0</v>
      </c>
      <c r="G383" s="121">
        <v>0</v>
      </c>
      <c r="H383" s="122">
        <f t="shared" ref="H383" si="86">G383+F383+E383+D383</f>
        <v>0</v>
      </c>
    </row>
    <row r="384" spans="2:8" ht="20.100000000000001" customHeight="1">
      <c r="B384" s="120" t="s">
        <v>483</v>
      </c>
      <c r="C384" s="129" t="s">
        <v>484</v>
      </c>
      <c r="D384" s="121">
        <v>0</v>
      </c>
      <c r="E384" s="121">
        <v>0</v>
      </c>
      <c r="F384" s="121">
        <v>0</v>
      </c>
      <c r="G384" s="121">
        <v>0</v>
      </c>
      <c r="H384" s="122">
        <f t="shared" si="82"/>
        <v>0</v>
      </c>
    </row>
    <row r="385" spans="2:8" ht="20.100000000000001" customHeight="1">
      <c r="B385" s="120" t="s">
        <v>485</v>
      </c>
      <c r="C385" s="129" t="s">
        <v>486</v>
      </c>
      <c r="D385" s="121">
        <v>0</v>
      </c>
      <c r="E385" s="121">
        <v>0</v>
      </c>
      <c r="F385" s="121">
        <v>0</v>
      </c>
      <c r="G385" s="121">
        <v>0</v>
      </c>
      <c r="H385" s="122">
        <f t="shared" si="82"/>
        <v>0</v>
      </c>
    </row>
    <row r="386" spans="2:8" ht="20.100000000000001" customHeight="1">
      <c r="B386" s="120" t="s">
        <v>304</v>
      </c>
      <c r="C386" s="129" t="s">
        <v>305</v>
      </c>
      <c r="D386" s="121">
        <v>0</v>
      </c>
      <c r="E386" s="121">
        <v>0</v>
      </c>
      <c r="F386" s="121">
        <v>0</v>
      </c>
      <c r="G386" s="121">
        <v>0</v>
      </c>
      <c r="H386" s="122">
        <f t="shared" si="82"/>
        <v>0</v>
      </c>
    </row>
    <row r="387" spans="2:8" ht="20.100000000000001" customHeight="1">
      <c r="B387" s="120" t="s">
        <v>306</v>
      </c>
      <c r="C387" s="129" t="s">
        <v>307</v>
      </c>
      <c r="D387" s="121">
        <v>0</v>
      </c>
      <c r="E387" s="121">
        <v>0</v>
      </c>
      <c r="F387" s="121">
        <v>0</v>
      </c>
      <c r="G387" s="121">
        <v>0</v>
      </c>
      <c r="H387" s="122">
        <f t="shared" si="82"/>
        <v>0</v>
      </c>
    </row>
    <row r="388" spans="2:8" ht="20.100000000000001" customHeight="1">
      <c r="B388" s="120" t="s">
        <v>308</v>
      </c>
      <c r="C388" s="129" t="s">
        <v>309</v>
      </c>
      <c r="D388" s="121">
        <v>0</v>
      </c>
      <c r="E388" s="121">
        <v>0</v>
      </c>
      <c r="F388" s="121">
        <v>0</v>
      </c>
      <c r="G388" s="121">
        <v>0</v>
      </c>
      <c r="H388" s="122">
        <f t="shared" si="82"/>
        <v>0</v>
      </c>
    </row>
    <row r="389" spans="2:8" ht="20.100000000000001" customHeight="1">
      <c r="B389" s="120" t="s">
        <v>487</v>
      </c>
      <c r="C389" s="129" t="s">
        <v>488</v>
      </c>
      <c r="D389" s="121">
        <v>0</v>
      </c>
      <c r="E389" s="121">
        <v>0</v>
      </c>
      <c r="F389" s="121">
        <v>0</v>
      </c>
      <c r="G389" s="121">
        <v>0</v>
      </c>
      <c r="H389" s="122">
        <f t="shared" si="82"/>
        <v>0</v>
      </c>
    </row>
    <row r="390" spans="2:8" ht="20.100000000000001" customHeight="1">
      <c r="B390" s="120" t="s">
        <v>489</v>
      </c>
      <c r="C390" s="129" t="s">
        <v>490</v>
      </c>
      <c r="D390" s="121">
        <v>0</v>
      </c>
      <c r="E390" s="121">
        <v>0</v>
      </c>
      <c r="F390" s="121">
        <v>0</v>
      </c>
      <c r="G390" s="121">
        <v>0</v>
      </c>
      <c r="H390" s="122">
        <f t="shared" si="82"/>
        <v>0</v>
      </c>
    </row>
    <row r="391" spans="2:8" ht="20.100000000000001" customHeight="1">
      <c r="B391" s="120" t="s">
        <v>44</v>
      </c>
      <c r="C391" s="129" t="s">
        <v>45</v>
      </c>
      <c r="D391" s="121">
        <v>0</v>
      </c>
      <c r="E391" s="121">
        <v>0</v>
      </c>
      <c r="F391" s="121">
        <v>0</v>
      </c>
      <c r="G391" s="121">
        <v>0</v>
      </c>
      <c r="H391" s="122">
        <f t="shared" si="82"/>
        <v>0</v>
      </c>
    </row>
    <row r="392" spans="2:8" ht="20.100000000000001" customHeight="1">
      <c r="B392" s="133" t="s">
        <v>46</v>
      </c>
      <c r="C392" s="129" t="s">
        <v>47</v>
      </c>
      <c r="D392" s="121">
        <v>0</v>
      </c>
      <c r="E392" s="121">
        <v>0</v>
      </c>
      <c r="F392" s="121">
        <v>0</v>
      </c>
      <c r="G392" s="121">
        <v>0</v>
      </c>
      <c r="H392" s="122">
        <f t="shared" si="82"/>
        <v>0</v>
      </c>
    </row>
    <row r="393" spans="2:8" ht="20.100000000000001" customHeight="1">
      <c r="B393" s="120" t="s">
        <v>34</v>
      </c>
      <c r="C393" s="120" t="s">
        <v>48</v>
      </c>
      <c r="D393" s="121">
        <v>0</v>
      </c>
      <c r="E393" s="121">
        <v>0</v>
      </c>
      <c r="F393" s="121">
        <v>0</v>
      </c>
      <c r="G393" s="121">
        <v>0</v>
      </c>
      <c r="H393" s="122">
        <f t="shared" si="82"/>
        <v>0</v>
      </c>
    </row>
    <row r="394" spans="2:8" ht="20.100000000000001" customHeight="1">
      <c r="B394" s="120" t="s">
        <v>49</v>
      </c>
      <c r="C394" s="120" t="s">
        <v>50</v>
      </c>
      <c r="D394" s="121">
        <v>0</v>
      </c>
      <c r="E394" s="121">
        <v>0</v>
      </c>
      <c r="F394" s="121">
        <v>0</v>
      </c>
      <c r="G394" s="121">
        <v>0</v>
      </c>
      <c r="H394" s="122">
        <f t="shared" si="82"/>
        <v>0</v>
      </c>
    </row>
    <row r="395" spans="2:8" ht="20.100000000000001" customHeight="1">
      <c r="B395" s="120" t="s">
        <v>49</v>
      </c>
      <c r="C395" s="120" t="s">
        <v>51</v>
      </c>
      <c r="D395" s="121">
        <v>0</v>
      </c>
      <c r="E395" s="121">
        <v>0</v>
      </c>
      <c r="F395" s="121">
        <v>0</v>
      </c>
      <c r="G395" s="121">
        <v>0</v>
      </c>
      <c r="H395" s="122">
        <f t="shared" si="82"/>
        <v>0</v>
      </c>
    </row>
    <row r="396" spans="2:8" ht="20.100000000000001" customHeight="1">
      <c r="B396" s="120" t="s">
        <v>129</v>
      </c>
      <c r="C396" s="120" t="s">
        <v>53</v>
      </c>
      <c r="D396" s="121">
        <v>0</v>
      </c>
      <c r="E396" s="121">
        <v>0</v>
      </c>
      <c r="F396" s="121">
        <v>0</v>
      </c>
      <c r="G396" s="121">
        <v>0</v>
      </c>
      <c r="H396" s="122">
        <f t="shared" si="82"/>
        <v>0</v>
      </c>
    </row>
    <row r="397" spans="2:8" ht="20.100000000000001" customHeight="1">
      <c r="B397" s="120" t="s">
        <v>52</v>
      </c>
      <c r="C397" s="120" t="s">
        <v>54</v>
      </c>
      <c r="D397" s="121">
        <v>0</v>
      </c>
      <c r="E397" s="121">
        <v>0</v>
      </c>
      <c r="F397" s="121">
        <v>0</v>
      </c>
      <c r="G397" s="121">
        <v>0</v>
      </c>
      <c r="H397" s="122">
        <f t="shared" si="82"/>
        <v>0</v>
      </c>
    </row>
    <row r="398" spans="2:8" ht="20.100000000000001" customHeight="1">
      <c r="B398" s="120" t="s">
        <v>149</v>
      </c>
      <c r="C398" s="120" t="s">
        <v>150</v>
      </c>
      <c r="D398" s="121">
        <v>0</v>
      </c>
      <c r="E398" s="121">
        <v>0</v>
      </c>
      <c r="F398" s="121">
        <v>0</v>
      </c>
      <c r="G398" s="121">
        <v>0</v>
      </c>
      <c r="H398" s="122">
        <f t="shared" si="82"/>
        <v>0</v>
      </c>
    </row>
    <row r="399" spans="2:8" ht="20.100000000000001" customHeight="1">
      <c r="B399" s="120" t="s">
        <v>26</v>
      </c>
      <c r="C399" s="120" t="s">
        <v>55</v>
      </c>
      <c r="D399" s="121">
        <v>0</v>
      </c>
      <c r="E399" s="121">
        <v>0</v>
      </c>
      <c r="F399" s="121">
        <v>0</v>
      </c>
      <c r="G399" s="121">
        <v>0</v>
      </c>
      <c r="H399" s="122">
        <f t="shared" si="82"/>
        <v>0</v>
      </c>
    </row>
    <row r="400" spans="2:8" ht="20.100000000000001" customHeight="1">
      <c r="B400" s="133" t="s">
        <v>673</v>
      </c>
      <c r="C400" s="120" t="s">
        <v>674</v>
      </c>
      <c r="D400" s="121">
        <v>0</v>
      </c>
      <c r="E400" s="121">
        <v>0</v>
      </c>
      <c r="F400" s="121">
        <v>0</v>
      </c>
      <c r="G400" s="121">
        <v>0</v>
      </c>
      <c r="H400" s="122">
        <f t="shared" si="82"/>
        <v>0</v>
      </c>
    </row>
    <row r="401" spans="2:8" ht="20.100000000000001" customHeight="1">
      <c r="B401" s="133" t="s">
        <v>1034</v>
      </c>
      <c r="C401" s="120" t="s">
        <v>1035</v>
      </c>
      <c r="D401" s="121">
        <v>0</v>
      </c>
      <c r="E401" s="121">
        <v>0</v>
      </c>
      <c r="F401" s="121">
        <v>0</v>
      </c>
      <c r="G401" s="121">
        <v>0</v>
      </c>
      <c r="H401" s="122">
        <f t="shared" ref="H401" si="87">G401+F401+E401+D401</f>
        <v>0</v>
      </c>
    </row>
    <row r="402" spans="2:8" ht="20.100000000000001" customHeight="1">
      <c r="B402" s="133" t="s">
        <v>1036</v>
      </c>
      <c r="C402" s="120" t="s">
        <v>1037</v>
      </c>
      <c r="D402" s="121">
        <v>0</v>
      </c>
      <c r="E402" s="121">
        <v>0</v>
      </c>
      <c r="F402" s="121">
        <v>0</v>
      </c>
      <c r="G402" s="121">
        <v>0</v>
      </c>
      <c r="H402" s="122">
        <f t="shared" ref="H402" si="88">G402+F402+E402+D402</f>
        <v>0</v>
      </c>
    </row>
    <row r="403" spans="2:8" ht="20.100000000000001" customHeight="1">
      <c r="B403" s="133" t="s">
        <v>675</v>
      </c>
      <c r="C403" s="120" t="s">
        <v>676</v>
      </c>
      <c r="D403" s="121">
        <v>0</v>
      </c>
      <c r="E403" s="121">
        <v>0</v>
      </c>
      <c r="F403" s="121">
        <v>0</v>
      </c>
      <c r="G403" s="121">
        <v>0</v>
      </c>
      <c r="H403" s="122">
        <f t="shared" si="82"/>
        <v>0</v>
      </c>
    </row>
    <row r="404" spans="2:8" ht="20.100000000000001" customHeight="1">
      <c r="B404" s="133" t="s">
        <v>878</v>
      </c>
      <c r="C404" s="120" t="s">
        <v>821</v>
      </c>
      <c r="D404" s="121">
        <v>0</v>
      </c>
      <c r="E404" s="121">
        <v>0</v>
      </c>
      <c r="F404" s="121">
        <v>0</v>
      </c>
      <c r="G404" s="121">
        <v>0</v>
      </c>
      <c r="H404" s="122">
        <f t="shared" si="82"/>
        <v>0</v>
      </c>
    </row>
    <row r="405" spans="2:8" ht="20.100000000000001" customHeight="1">
      <c r="B405" s="133" t="s">
        <v>879</v>
      </c>
      <c r="C405" s="120" t="s">
        <v>823</v>
      </c>
      <c r="D405" s="121">
        <v>0</v>
      </c>
      <c r="E405" s="121">
        <v>0</v>
      </c>
      <c r="F405" s="121">
        <v>0</v>
      </c>
      <c r="G405" s="121">
        <v>0</v>
      </c>
      <c r="H405" s="122">
        <f t="shared" ref="H405" si="89">G405+F405+E405+D405</f>
        <v>0</v>
      </c>
    </row>
    <row r="406" spans="2:8" ht="20.100000000000001" customHeight="1">
      <c r="B406" s="133" t="s">
        <v>810</v>
      </c>
      <c r="C406" s="120" t="s">
        <v>824</v>
      </c>
      <c r="D406" s="121">
        <v>0</v>
      </c>
      <c r="E406" s="121">
        <v>0</v>
      </c>
      <c r="F406" s="121">
        <v>0</v>
      </c>
      <c r="G406" s="121">
        <v>0</v>
      </c>
      <c r="H406" s="122">
        <f t="shared" ref="H406" si="90">G406+F406+E406+D406</f>
        <v>0</v>
      </c>
    </row>
    <row r="407" spans="2:8" ht="20.100000000000001" customHeight="1">
      <c r="B407" s="133" t="s">
        <v>809</v>
      </c>
      <c r="C407" s="120" t="s">
        <v>805</v>
      </c>
      <c r="D407" s="121">
        <v>0</v>
      </c>
      <c r="E407" s="121">
        <v>0</v>
      </c>
      <c r="F407" s="121">
        <v>0</v>
      </c>
      <c r="G407" s="121">
        <v>0</v>
      </c>
      <c r="H407" s="122">
        <f t="shared" si="82"/>
        <v>0</v>
      </c>
    </row>
    <row r="408" spans="2:8" ht="20.100000000000001" customHeight="1">
      <c r="B408" s="133" t="s">
        <v>883</v>
      </c>
      <c r="C408" s="120" t="s">
        <v>830</v>
      </c>
      <c r="D408" s="121">
        <v>0</v>
      </c>
      <c r="E408" s="121">
        <v>0</v>
      </c>
      <c r="F408" s="121">
        <v>0</v>
      </c>
      <c r="G408" s="121">
        <v>0</v>
      </c>
      <c r="H408" s="122">
        <f t="shared" ref="H408" si="91">G408+F408+E408+D408</f>
        <v>0</v>
      </c>
    </row>
    <row r="409" spans="2:8" ht="20.100000000000001" customHeight="1">
      <c r="B409" s="133" t="s">
        <v>1094</v>
      </c>
      <c r="C409" s="120" t="s">
        <v>1095</v>
      </c>
      <c r="D409" s="121">
        <v>0</v>
      </c>
      <c r="E409" s="121">
        <v>0</v>
      </c>
      <c r="F409" s="121">
        <v>0</v>
      </c>
      <c r="G409" s="121">
        <v>0</v>
      </c>
      <c r="H409" s="122">
        <f t="shared" ref="H409" si="92">G409+F409+E409+D409</f>
        <v>0</v>
      </c>
    </row>
    <row r="410" spans="2:8" ht="20.100000000000001" customHeight="1">
      <c r="B410" s="133" t="s">
        <v>884</v>
      </c>
      <c r="C410" s="120" t="s">
        <v>832</v>
      </c>
      <c r="D410" s="121">
        <v>0</v>
      </c>
      <c r="E410" s="121">
        <v>0</v>
      </c>
      <c r="F410" s="121">
        <v>0</v>
      </c>
      <c r="G410" s="121">
        <v>0</v>
      </c>
      <c r="H410" s="122">
        <f t="shared" ref="H410" si="93">G410+F410+E410+D410</f>
        <v>0</v>
      </c>
    </row>
    <row r="411" spans="2:8" ht="20.100000000000001" customHeight="1">
      <c r="B411" s="133" t="s">
        <v>475</v>
      </c>
      <c r="C411" s="129" t="s">
        <v>476</v>
      </c>
      <c r="D411" s="121">
        <v>0</v>
      </c>
      <c r="E411" s="121">
        <v>0</v>
      </c>
      <c r="F411" s="121"/>
      <c r="G411" s="121">
        <v>0</v>
      </c>
      <c r="H411" s="122">
        <f t="shared" si="82"/>
        <v>0</v>
      </c>
    </row>
    <row r="412" spans="2:8" ht="20.100000000000001" customHeight="1">
      <c r="B412" s="101" t="s">
        <v>1087</v>
      </c>
      <c r="C412" s="94" t="s">
        <v>1088</v>
      </c>
      <c r="D412" s="121">
        <v>0</v>
      </c>
      <c r="E412" s="121">
        <v>0</v>
      </c>
      <c r="F412" s="121">
        <v>0</v>
      </c>
      <c r="G412" s="121">
        <v>0</v>
      </c>
      <c r="H412" s="122">
        <f t="shared" si="82"/>
        <v>0</v>
      </c>
    </row>
    <row r="413" spans="2:8" ht="20.100000000000001" customHeight="1">
      <c r="B413" s="133" t="s">
        <v>479</v>
      </c>
      <c r="C413" s="129" t="s">
        <v>480</v>
      </c>
      <c r="D413" s="121">
        <v>0</v>
      </c>
      <c r="E413" s="121">
        <v>0</v>
      </c>
      <c r="F413" s="121"/>
      <c r="G413" s="121">
        <v>0</v>
      </c>
      <c r="H413" s="122">
        <f t="shared" si="82"/>
        <v>0</v>
      </c>
    </row>
    <row r="414" spans="2:8" ht="20.100000000000001" customHeight="1">
      <c r="B414" s="133" t="s">
        <v>985</v>
      </c>
      <c r="C414" s="129" t="s">
        <v>977</v>
      </c>
      <c r="D414" s="121">
        <v>0</v>
      </c>
      <c r="E414" s="121">
        <v>0</v>
      </c>
      <c r="F414" s="121">
        <v>0</v>
      </c>
      <c r="G414" s="121">
        <v>0</v>
      </c>
      <c r="H414" s="122">
        <f t="shared" si="82"/>
        <v>0</v>
      </c>
    </row>
    <row r="415" spans="2:8" ht="20.100000000000001" customHeight="1">
      <c r="B415" s="133" t="s">
        <v>981</v>
      </c>
      <c r="C415" s="129" t="s">
        <v>973</v>
      </c>
      <c r="D415" s="121">
        <v>0</v>
      </c>
      <c r="E415" s="121">
        <v>0</v>
      </c>
      <c r="F415" s="121">
        <v>0</v>
      </c>
      <c r="G415" s="121">
        <v>0</v>
      </c>
      <c r="H415" s="122">
        <f t="shared" si="82"/>
        <v>0</v>
      </c>
    </row>
    <row r="416" spans="2:8" ht="20.100000000000001" customHeight="1">
      <c r="B416" s="133" t="s">
        <v>982</v>
      </c>
      <c r="C416" s="129" t="s">
        <v>975</v>
      </c>
      <c r="D416" s="121">
        <v>0</v>
      </c>
      <c r="E416" s="121">
        <v>0</v>
      </c>
      <c r="F416" s="121"/>
      <c r="G416" s="121">
        <v>0</v>
      </c>
      <c r="H416" s="122">
        <f t="shared" ref="H416" si="94">G416+F416+E416+D416</f>
        <v>0</v>
      </c>
    </row>
    <row r="417" spans="2:8" ht="20.100000000000001" customHeight="1">
      <c r="B417" s="133" t="s">
        <v>154</v>
      </c>
      <c r="C417" s="129" t="s">
        <v>171</v>
      </c>
      <c r="D417" s="121"/>
      <c r="E417" s="121">
        <v>0</v>
      </c>
      <c r="F417" s="121"/>
      <c r="G417" s="121">
        <v>0</v>
      </c>
      <c r="H417" s="122">
        <f t="shared" si="82"/>
        <v>0</v>
      </c>
    </row>
    <row r="418" spans="2:8" ht="20.100000000000001" customHeight="1">
      <c r="B418" s="133" t="s">
        <v>154</v>
      </c>
      <c r="C418" s="129" t="s">
        <v>155</v>
      </c>
      <c r="D418" s="121"/>
      <c r="E418" s="121">
        <v>0</v>
      </c>
      <c r="F418" s="121"/>
      <c r="G418" s="121">
        <v>0</v>
      </c>
      <c r="H418" s="122">
        <f t="shared" si="82"/>
        <v>0</v>
      </c>
    </row>
    <row r="419" spans="2:8" ht="20.100000000000001" customHeight="1">
      <c r="B419" s="133" t="s">
        <v>154</v>
      </c>
      <c r="C419" s="129" t="s">
        <v>156</v>
      </c>
      <c r="D419" s="121"/>
      <c r="E419" s="121">
        <v>0</v>
      </c>
      <c r="F419" s="121"/>
      <c r="G419" s="121">
        <v>0</v>
      </c>
      <c r="H419" s="122">
        <f t="shared" si="82"/>
        <v>0</v>
      </c>
    </row>
    <row r="420" spans="2:8" ht="20.100000000000001" customHeight="1">
      <c r="B420" s="133" t="s">
        <v>154</v>
      </c>
      <c r="C420" s="129" t="s">
        <v>157</v>
      </c>
      <c r="D420" s="121"/>
      <c r="E420" s="121">
        <v>0</v>
      </c>
      <c r="F420" s="121"/>
      <c r="G420" s="121">
        <v>0</v>
      </c>
      <c r="H420" s="122">
        <f t="shared" si="82"/>
        <v>0</v>
      </c>
    </row>
    <row r="421" spans="2:8" ht="20.100000000000001" customHeight="1">
      <c r="B421" s="133" t="s">
        <v>56</v>
      </c>
      <c r="C421" s="129" t="s">
        <v>57</v>
      </c>
      <c r="D421" s="121">
        <v>0</v>
      </c>
      <c r="E421" s="121">
        <v>0</v>
      </c>
      <c r="F421" s="121">
        <v>0</v>
      </c>
      <c r="G421" s="121">
        <v>0</v>
      </c>
      <c r="H421" s="122">
        <f t="shared" si="82"/>
        <v>0</v>
      </c>
    </row>
    <row r="422" spans="2:8" ht="20.100000000000001" customHeight="1">
      <c r="B422" s="133" t="s">
        <v>56</v>
      </c>
      <c r="C422" s="129" t="s">
        <v>58</v>
      </c>
      <c r="D422" s="121">
        <v>0</v>
      </c>
      <c r="E422" s="121">
        <v>0</v>
      </c>
      <c r="F422" s="121">
        <v>0</v>
      </c>
      <c r="G422" s="121">
        <v>0</v>
      </c>
      <c r="H422" s="122">
        <f t="shared" si="82"/>
        <v>0</v>
      </c>
    </row>
    <row r="423" spans="2:8" ht="20.100000000000001" customHeight="1">
      <c r="B423" s="133" t="s">
        <v>59</v>
      </c>
      <c r="C423" s="129" t="s">
        <v>60</v>
      </c>
      <c r="D423" s="121">
        <v>0</v>
      </c>
      <c r="E423" s="121">
        <v>0</v>
      </c>
      <c r="F423" s="121">
        <v>0</v>
      </c>
      <c r="G423" s="121">
        <v>0</v>
      </c>
      <c r="H423" s="122">
        <f t="shared" si="82"/>
        <v>0</v>
      </c>
    </row>
    <row r="424" spans="2:8" ht="20.100000000000001" customHeight="1">
      <c r="B424" s="133" t="s">
        <v>59</v>
      </c>
      <c r="C424" s="129" t="s">
        <v>61</v>
      </c>
      <c r="D424" s="121">
        <v>0</v>
      </c>
      <c r="E424" s="121">
        <v>0</v>
      </c>
      <c r="F424" s="121">
        <v>0</v>
      </c>
      <c r="G424" s="121">
        <v>0</v>
      </c>
      <c r="H424" s="122">
        <f t="shared" si="82"/>
        <v>0</v>
      </c>
    </row>
    <row r="425" spans="2:8" ht="20.100000000000001" customHeight="1">
      <c r="B425" s="101" t="s">
        <v>1048</v>
      </c>
      <c r="C425" s="129" t="s">
        <v>1049</v>
      </c>
      <c r="D425" s="121">
        <v>0</v>
      </c>
      <c r="E425" s="121">
        <v>0</v>
      </c>
      <c r="F425" s="121">
        <v>0</v>
      </c>
      <c r="G425" s="121">
        <v>0</v>
      </c>
      <c r="H425" s="122">
        <f t="shared" ref="H425:H426" si="95">G425+F425+E425+D425</f>
        <v>0</v>
      </c>
    </row>
    <row r="426" spans="2:8" ht="20.100000000000001" customHeight="1">
      <c r="B426" s="101" t="s">
        <v>1050</v>
      </c>
      <c r="C426" s="129" t="s">
        <v>1051</v>
      </c>
      <c r="D426" s="121">
        <v>0</v>
      </c>
      <c r="E426" s="121">
        <v>0</v>
      </c>
      <c r="F426" s="121">
        <v>0</v>
      </c>
      <c r="G426" s="121">
        <v>0</v>
      </c>
      <c r="H426" s="122">
        <f t="shared" si="95"/>
        <v>0</v>
      </c>
    </row>
    <row r="427" spans="2:8" ht="20.100000000000001" customHeight="1">
      <c r="B427" s="120" t="s">
        <v>28</v>
      </c>
      <c r="C427" s="129" t="s">
        <v>155</v>
      </c>
      <c r="D427" s="121">
        <v>0</v>
      </c>
      <c r="E427" s="121">
        <v>0</v>
      </c>
      <c r="F427" s="121">
        <v>0</v>
      </c>
      <c r="G427" s="121">
        <v>0</v>
      </c>
      <c r="H427" s="122">
        <f t="shared" si="82"/>
        <v>0</v>
      </c>
    </row>
    <row r="428" spans="2:8" ht="20.100000000000001" customHeight="1">
      <c r="B428" s="120" t="s">
        <v>279</v>
      </c>
      <c r="C428" s="129" t="s">
        <v>280</v>
      </c>
      <c r="D428" s="121">
        <v>0</v>
      </c>
      <c r="E428" s="121">
        <v>0</v>
      </c>
      <c r="F428" s="121">
        <v>0</v>
      </c>
      <c r="G428" s="121">
        <v>0</v>
      </c>
      <c r="H428" s="122">
        <f t="shared" si="82"/>
        <v>0</v>
      </c>
    </row>
    <row r="429" spans="2:8" ht="20.100000000000001" customHeight="1">
      <c r="B429" s="120" t="s">
        <v>281</v>
      </c>
      <c r="C429" s="129" t="s">
        <v>282</v>
      </c>
      <c r="D429" s="121">
        <v>0</v>
      </c>
      <c r="E429" s="121">
        <v>0</v>
      </c>
      <c r="F429" s="121">
        <v>0</v>
      </c>
      <c r="G429" s="121">
        <v>0</v>
      </c>
      <c r="H429" s="122">
        <f t="shared" si="82"/>
        <v>0</v>
      </c>
    </row>
    <row r="430" spans="2:8" ht="20.100000000000001" customHeight="1">
      <c r="B430" s="120" t="s">
        <v>283</v>
      </c>
      <c r="C430" s="129" t="s">
        <v>284</v>
      </c>
      <c r="D430" s="121">
        <v>0</v>
      </c>
      <c r="E430" s="121">
        <v>0</v>
      </c>
      <c r="F430" s="121">
        <v>0</v>
      </c>
      <c r="G430" s="121">
        <v>0</v>
      </c>
      <c r="H430" s="122">
        <f t="shared" si="82"/>
        <v>0</v>
      </c>
    </row>
    <row r="431" spans="2:8" ht="20.100000000000001" customHeight="1">
      <c r="B431" s="120" t="s">
        <v>285</v>
      </c>
      <c r="C431" s="129" t="s">
        <v>286</v>
      </c>
      <c r="D431" s="121">
        <v>0</v>
      </c>
      <c r="E431" s="121">
        <v>0</v>
      </c>
      <c r="F431" s="121">
        <v>0</v>
      </c>
      <c r="G431" s="121">
        <v>0</v>
      </c>
      <c r="H431" s="122">
        <f t="shared" si="82"/>
        <v>0</v>
      </c>
    </row>
    <row r="432" spans="2:8" ht="20.100000000000001" customHeight="1">
      <c r="B432" s="120" t="s">
        <v>287</v>
      </c>
      <c r="C432" s="129" t="s">
        <v>288</v>
      </c>
      <c r="D432" s="121">
        <v>0</v>
      </c>
      <c r="E432" s="121"/>
      <c r="F432" s="121">
        <v>0</v>
      </c>
      <c r="G432" s="121">
        <v>0</v>
      </c>
      <c r="H432" s="122">
        <f t="shared" si="82"/>
        <v>0</v>
      </c>
    </row>
    <row r="433" spans="2:8" ht="20.100000000000001" customHeight="1">
      <c r="B433" s="120" t="s">
        <v>289</v>
      </c>
      <c r="C433" s="129" t="s">
        <v>1008</v>
      </c>
      <c r="D433" s="121">
        <v>0</v>
      </c>
      <c r="E433" s="121">
        <v>0</v>
      </c>
      <c r="F433" s="121">
        <v>0</v>
      </c>
      <c r="G433" s="121">
        <v>0</v>
      </c>
      <c r="H433" s="122">
        <f t="shared" si="82"/>
        <v>0</v>
      </c>
    </row>
    <row r="434" spans="2:8" ht="20.100000000000001" customHeight="1">
      <c r="B434" s="120" t="s">
        <v>291</v>
      </c>
      <c r="C434" s="129" t="s">
        <v>292</v>
      </c>
      <c r="D434" s="121">
        <v>0</v>
      </c>
      <c r="E434" s="121">
        <v>0</v>
      </c>
      <c r="F434" s="121">
        <v>0</v>
      </c>
      <c r="G434" s="121">
        <v>0</v>
      </c>
      <c r="H434" s="122">
        <f t="shared" si="82"/>
        <v>0</v>
      </c>
    </row>
    <row r="435" spans="2:8" ht="20.100000000000001" customHeight="1">
      <c r="B435" s="120" t="s">
        <v>293</v>
      </c>
      <c r="C435" s="129" t="s">
        <v>294</v>
      </c>
      <c r="D435" s="121">
        <v>0</v>
      </c>
      <c r="E435" s="121">
        <v>0</v>
      </c>
      <c r="F435" s="121">
        <v>0</v>
      </c>
      <c r="G435" s="121">
        <v>0</v>
      </c>
      <c r="H435" s="122">
        <f t="shared" si="82"/>
        <v>0</v>
      </c>
    </row>
    <row r="436" spans="2:8" ht="20.100000000000001" customHeight="1">
      <c r="B436" s="120" t="s">
        <v>297</v>
      </c>
      <c r="C436" s="129" t="s">
        <v>1009</v>
      </c>
      <c r="D436" s="121">
        <v>0</v>
      </c>
      <c r="E436" s="121">
        <v>0</v>
      </c>
      <c r="F436" s="121">
        <v>0</v>
      </c>
      <c r="G436" s="121">
        <v>0</v>
      </c>
      <c r="H436" s="122">
        <f t="shared" si="82"/>
        <v>0</v>
      </c>
    </row>
    <row r="437" spans="2:8" ht="20.100000000000001" customHeight="1">
      <c r="B437" s="120" t="s">
        <v>967</v>
      </c>
      <c r="C437" s="129" t="s">
        <v>968</v>
      </c>
      <c r="D437" s="121">
        <v>0</v>
      </c>
      <c r="E437" s="121">
        <v>0</v>
      </c>
      <c r="F437" s="121">
        <v>0</v>
      </c>
      <c r="G437" s="121">
        <v>0</v>
      </c>
      <c r="H437" s="122">
        <f t="shared" ref="H437" si="96">G437+F437+E437+D437</f>
        <v>0</v>
      </c>
    </row>
    <row r="438" spans="2:8" ht="20.100000000000001" customHeight="1">
      <c r="B438" s="120" t="s">
        <v>28</v>
      </c>
      <c r="C438" s="129" t="s">
        <v>175</v>
      </c>
      <c r="D438" s="121">
        <v>0</v>
      </c>
      <c r="E438" s="121">
        <v>0</v>
      </c>
      <c r="F438" s="121">
        <v>0</v>
      </c>
      <c r="G438" s="121">
        <v>0</v>
      </c>
      <c r="H438" s="122">
        <f t="shared" si="82"/>
        <v>0</v>
      </c>
    </row>
    <row r="439" spans="2:8" ht="20.100000000000001" customHeight="1">
      <c r="B439" s="120" t="s">
        <v>28</v>
      </c>
      <c r="C439" s="129" t="s">
        <v>176</v>
      </c>
      <c r="D439" s="121">
        <v>0</v>
      </c>
      <c r="E439" s="121">
        <v>0</v>
      </c>
      <c r="F439" s="121">
        <v>0</v>
      </c>
      <c r="G439" s="121">
        <v>0</v>
      </c>
      <c r="H439" s="122">
        <f t="shared" si="82"/>
        <v>0</v>
      </c>
    </row>
    <row r="440" spans="2:8" ht="20.100000000000001" customHeight="1">
      <c r="B440" s="120" t="s">
        <v>28</v>
      </c>
      <c r="C440" s="129" t="s">
        <v>177</v>
      </c>
      <c r="D440" s="121">
        <v>0</v>
      </c>
      <c r="E440" s="121">
        <v>0</v>
      </c>
      <c r="F440" s="121">
        <v>0</v>
      </c>
      <c r="G440" s="121">
        <v>0</v>
      </c>
      <c r="H440" s="122">
        <f t="shared" si="82"/>
        <v>0</v>
      </c>
    </row>
    <row r="441" spans="2:8" ht="20.100000000000001" customHeight="1">
      <c r="B441" s="120" t="s">
        <v>31</v>
      </c>
      <c r="C441" s="129" t="s">
        <v>62</v>
      </c>
      <c r="D441" s="121">
        <v>0</v>
      </c>
      <c r="E441" s="121">
        <v>0</v>
      </c>
      <c r="F441" s="121">
        <v>0</v>
      </c>
      <c r="G441" s="121">
        <v>0</v>
      </c>
      <c r="H441" s="122">
        <f t="shared" ref="H441:H458" si="97">G441+F441+E441+D441</f>
        <v>0</v>
      </c>
    </row>
    <row r="442" spans="2:8" ht="20.100000000000001" customHeight="1">
      <c r="B442" s="120" t="s">
        <v>31</v>
      </c>
      <c r="C442" s="129" t="s">
        <v>63</v>
      </c>
      <c r="D442" s="121">
        <v>0</v>
      </c>
      <c r="E442" s="121">
        <v>0</v>
      </c>
      <c r="F442" s="121">
        <v>0</v>
      </c>
      <c r="G442" s="121">
        <v>0</v>
      </c>
      <c r="H442" s="122">
        <f t="shared" si="97"/>
        <v>0</v>
      </c>
    </row>
    <row r="443" spans="2:8" ht="20.100000000000001" customHeight="1">
      <c r="B443" s="120" t="s">
        <v>31</v>
      </c>
      <c r="C443" s="129" t="s">
        <v>64</v>
      </c>
      <c r="D443" s="121">
        <v>0</v>
      </c>
      <c r="E443" s="121">
        <v>0</v>
      </c>
      <c r="F443" s="121">
        <v>0</v>
      </c>
      <c r="G443" s="121">
        <v>0</v>
      </c>
      <c r="H443" s="122">
        <f t="shared" si="97"/>
        <v>0</v>
      </c>
    </row>
    <row r="444" spans="2:8" ht="20.100000000000001" customHeight="1">
      <c r="B444" s="120" t="s">
        <v>31</v>
      </c>
      <c r="C444" s="129" t="s">
        <v>32</v>
      </c>
      <c r="D444" s="121">
        <v>0</v>
      </c>
      <c r="E444" s="121">
        <v>0</v>
      </c>
      <c r="F444" s="121">
        <v>0</v>
      </c>
      <c r="G444" s="121">
        <v>0</v>
      </c>
      <c r="H444" s="122">
        <f t="shared" si="97"/>
        <v>0</v>
      </c>
    </row>
    <row r="445" spans="2:8" ht="20.100000000000001" customHeight="1">
      <c r="B445" s="120" t="s">
        <v>65</v>
      </c>
      <c r="C445" s="120" t="s">
        <v>66</v>
      </c>
      <c r="D445" s="121">
        <v>0</v>
      </c>
      <c r="E445" s="121">
        <v>0</v>
      </c>
      <c r="F445" s="121">
        <v>0</v>
      </c>
      <c r="G445" s="121">
        <v>0</v>
      </c>
      <c r="H445" s="122">
        <f t="shared" si="97"/>
        <v>0</v>
      </c>
    </row>
    <row r="446" spans="2:8" ht="20.100000000000001" customHeight="1">
      <c r="B446" s="120" t="s">
        <v>67</v>
      </c>
      <c r="C446" s="120" t="s">
        <v>63</v>
      </c>
      <c r="D446" s="121">
        <v>0</v>
      </c>
      <c r="E446" s="121">
        <v>0</v>
      </c>
      <c r="F446" s="121">
        <v>0</v>
      </c>
      <c r="G446" s="121"/>
      <c r="H446" s="122">
        <f t="shared" si="97"/>
        <v>0</v>
      </c>
    </row>
    <row r="447" spans="2:8" ht="20.100000000000001" customHeight="1">
      <c r="B447" s="120" t="s">
        <v>67</v>
      </c>
      <c r="C447" s="120" t="s">
        <v>68</v>
      </c>
      <c r="D447" s="121">
        <v>0</v>
      </c>
      <c r="E447" s="121">
        <v>0</v>
      </c>
      <c r="F447" s="121">
        <v>0</v>
      </c>
      <c r="G447" s="121"/>
      <c r="H447" s="122">
        <f t="shared" si="97"/>
        <v>0</v>
      </c>
    </row>
    <row r="448" spans="2:8" ht="20.100000000000001" customHeight="1">
      <c r="B448" s="120" t="s">
        <v>876</v>
      </c>
      <c r="C448" s="120" t="s">
        <v>813</v>
      </c>
      <c r="D448" s="121">
        <v>0</v>
      </c>
      <c r="E448" s="121"/>
      <c r="F448" s="121">
        <v>0</v>
      </c>
      <c r="G448" s="121">
        <v>0</v>
      </c>
      <c r="H448" s="122">
        <f t="shared" si="97"/>
        <v>0</v>
      </c>
    </row>
    <row r="449" spans="2:8" ht="20.100000000000001" customHeight="1">
      <c r="B449" s="120" t="s">
        <v>882</v>
      </c>
      <c r="C449" s="120" t="s">
        <v>858</v>
      </c>
      <c r="D449" s="121">
        <v>0</v>
      </c>
      <c r="E449" s="121"/>
      <c r="F449" s="121">
        <v>0</v>
      </c>
      <c r="G449" s="121">
        <v>0</v>
      </c>
      <c r="H449" s="122">
        <f t="shared" si="97"/>
        <v>0</v>
      </c>
    </row>
    <row r="450" spans="2:8" ht="20.100000000000001" customHeight="1">
      <c r="B450" s="120" t="s">
        <v>885</v>
      </c>
      <c r="C450" s="120" t="s">
        <v>839</v>
      </c>
      <c r="D450" s="121">
        <v>0</v>
      </c>
      <c r="E450" s="121"/>
      <c r="F450" s="121">
        <v>0</v>
      </c>
      <c r="G450" s="121">
        <v>0</v>
      </c>
      <c r="H450" s="122">
        <f t="shared" si="97"/>
        <v>0</v>
      </c>
    </row>
    <row r="451" spans="2:8" ht="20.100000000000001" customHeight="1">
      <c r="B451" s="85" t="s">
        <v>1052</v>
      </c>
      <c r="C451" s="85" t="s">
        <v>1053</v>
      </c>
      <c r="D451" s="121">
        <v>0</v>
      </c>
      <c r="E451" s="121">
        <v>0</v>
      </c>
      <c r="F451" s="121">
        <v>0</v>
      </c>
      <c r="G451" s="121">
        <v>0</v>
      </c>
      <c r="H451" s="122">
        <f t="shared" si="97"/>
        <v>0</v>
      </c>
    </row>
    <row r="452" spans="2:8" ht="20.100000000000001" customHeight="1">
      <c r="B452" s="85" t="s">
        <v>1054</v>
      </c>
      <c r="C452" s="85" t="s">
        <v>1055</v>
      </c>
      <c r="D452" s="121">
        <v>0</v>
      </c>
      <c r="E452" s="121">
        <v>0</v>
      </c>
      <c r="F452" s="121">
        <v>0</v>
      </c>
      <c r="G452" s="121">
        <v>0</v>
      </c>
      <c r="H452" s="122">
        <f t="shared" si="97"/>
        <v>0</v>
      </c>
    </row>
    <row r="453" spans="2:8" ht="20.100000000000001" customHeight="1">
      <c r="B453" s="120" t="s">
        <v>69</v>
      </c>
      <c r="C453" s="120" t="s">
        <v>70</v>
      </c>
      <c r="D453" s="121">
        <v>0</v>
      </c>
      <c r="E453" s="121"/>
      <c r="F453" s="121">
        <v>0</v>
      </c>
      <c r="G453" s="121">
        <v>0</v>
      </c>
      <c r="H453" s="122">
        <f t="shared" si="97"/>
        <v>0</v>
      </c>
    </row>
    <row r="454" spans="2:8" ht="20.100000000000001" customHeight="1">
      <c r="B454" s="120" t="s">
        <v>69</v>
      </c>
      <c r="C454" s="120" t="s">
        <v>71</v>
      </c>
      <c r="D454" s="121">
        <v>0</v>
      </c>
      <c r="E454" s="121"/>
      <c r="F454" s="121">
        <v>0</v>
      </c>
      <c r="G454" s="121">
        <v>0</v>
      </c>
      <c r="H454" s="122">
        <f t="shared" si="97"/>
        <v>0</v>
      </c>
    </row>
    <row r="455" spans="2:8" ht="20.100000000000001" customHeight="1">
      <c r="B455" s="120" t="s">
        <v>152</v>
      </c>
      <c r="C455" s="120" t="s">
        <v>72</v>
      </c>
      <c r="D455" s="121">
        <v>0</v>
      </c>
      <c r="E455" s="121">
        <v>0</v>
      </c>
      <c r="F455" s="121">
        <v>0</v>
      </c>
      <c r="G455" s="121">
        <v>0</v>
      </c>
      <c r="H455" s="122">
        <f t="shared" si="97"/>
        <v>0</v>
      </c>
    </row>
    <row r="456" spans="2:8" ht="20.100000000000001" customHeight="1">
      <c r="B456" s="120" t="s">
        <v>33</v>
      </c>
      <c r="C456" s="120" t="s">
        <v>163</v>
      </c>
      <c r="D456" s="121">
        <v>0</v>
      </c>
      <c r="E456" s="121">
        <v>0</v>
      </c>
      <c r="F456" s="121">
        <v>0</v>
      </c>
      <c r="G456" s="121">
        <v>0</v>
      </c>
      <c r="H456" s="122">
        <f t="shared" si="97"/>
        <v>0</v>
      </c>
    </row>
    <row r="457" spans="2:8" ht="20.100000000000001" customHeight="1">
      <c r="B457" s="120" t="s">
        <v>33</v>
      </c>
      <c r="C457" s="120" t="s">
        <v>170</v>
      </c>
      <c r="D457" s="121">
        <v>0</v>
      </c>
      <c r="E457" s="121">
        <v>0</v>
      </c>
      <c r="F457" s="121">
        <v>0</v>
      </c>
      <c r="G457" s="121">
        <v>0</v>
      </c>
      <c r="H457" s="122">
        <f t="shared" si="97"/>
        <v>0</v>
      </c>
    </row>
    <row r="458" spans="2:8" ht="20.100000000000001" customHeight="1">
      <c r="B458" s="126" t="s">
        <v>33</v>
      </c>
      <c r="C458" s="126" t="s">
        <v>164</v>
      </c>
      <c r="D458" s="127">
        <v>0</v>
      </c>
      <c r="E458" s="127">
        <v>0</v>
      </c>
      <c r="F458" s="127">
        <v>0</v>
      </c>
      <c r="G458" s="127">
        <v>0</v>
      </c>
      <c r="H458" s="128">
        <f t="shared" si="97"/>
        <v>0</v>
      </c>
    </row>
    <row r="459" spans="2:8" ht="15.75">
      <c r="B459" s="301" t="s">
        <v>73</v>
      </c>
      <c r="C459" s="302"/>
      <c r="D459" s="47">
        <f>SUM(D362:D458)</f>
        <v>0</v>
      </c>
      <c r="E459" s="47">
        <f>SUM(E362:E458)</f>
        <v>0</v>
      </c>
      <c r="F459" s="47">
        <f>SUM(F362:F458)</f>
        <v>0</v>
      </c>
      <c r="G459" s="47">
        <f>SUM(G362:G458)</f>
        <v>0</v>
      </c>
      <c r="H459" s="47">
        <f>SUM(H362:H458)</f>
        <v>0</v>
      </c>
    </row>
    <row r="460" spans="2:8" ht="16.5" thickBot="1">
      <c r="B460" s="15"/>
      <c r="C460" s="15"/>
      <c r="D460" s="16"/>
      <c r="E460" s="16"/>
      <c r="F460" s="16"/>
      <c r="G460" s="16"/>
      <c r="H460" s="16"/>
    </row>
    <row r="461" spans="2:8" ht="20.100000000000001" customHeight="1">
      <c r="B461" s="33" t="s">
        <v>74</v>
      </c>
      <c r="C461" s="34"/>
      <c r="D461" s="34"/>
      <c r="E461" s="34"/>
      <c r="F461" s="34"/>
      <c r="G461" s="34"/>
      <c r="H461" s="39"/>
    </row>
    <row r="462" spans="2:8" ht="20.100000000000001" customHeight="1">
      <c r="B462" s="117" t="s">
        <v>722</v>
      </c>
      <c r="C462" s="130" t="s">
        <v>723</v>
      </c>
      <c r="D462" s="118">
        <v>0</v>
      </c>
      <c r="E462" s="118">
        <v>0</v>
      </c>
      <c r="F462" s="118">
        <v>0</v>
      </c>
      <c r="G462" s="118">
        <v>0</v>
      </c>
      <c r="H462" s="119">
        <f t="shared" ref="H462:H492" si="98">G462+F462+E462+D462</f>
        <v>0</v>
      </c>
    </row>
    <row r="463" spans="2:8" ht="20.100000000000001" customHeight="1">
      <c r="B463" s="120" t="s">
        <v>315</v>
      </c>
      <c r="C463" s="129" t="s">
        <v>510</v>
      </c>
      <c r="D463" s="121">
        <v>0</v>
      </c>
      <c r="E463" s="121">
        <v>0</v>
      </c>
      <c r="F463" s="121">
        <v>0</v>
      </c>
      <c r="G463" s="121"/>
      <c r="H463" s="122">
        <f t="shared" si="98"/>
        <v>0</v>
      </c>
    </row>
    <row r="464" spans="2:8" ht="20.100000000000001" customHeight="1">
      <c r="B464" s="120" t="s">
        <v>719</v>
      </c>
      <c r="C464" s="129" t="s">
        <v>720</v>
      </c>
      <c r="D464" s="121">
        <v>0</v>
      </c>
      <c r="E464" s="121">
        <v>0</v>
      </c>
      <c r="F464" s="121">
        <v>0</v>
      </c>
      <c r="G464" s="121"/>
      <c r="H464" s="122">
        <f t="shared" ref="H464" si="99">G464+F464+E464+D464</f>
        <v>0</v>
      </c>
    </row>
    <row r="465" spans="2:8" ht="20.100000000000001" customHeight="1">
      <c r="B465" s="120" t="s">
        <v>721</v>
      </c>
      <c r="C465" s="129" t="s">
        <v>724</v>
      </c>
      <c r="D465" s="121">
        <v>0</v>
      </c>
      <c r="E465" s="121">
        <v>0</v>
      </c>
      <c r="F465" s="121">
        <v>0</v>
      </c>
      <c r="G465" s="121">
        <v>0</v>
      </c>
      <c r="H465" s="122">
        <f t="shared" ref="H465" si="100">G465+F465+E465+D465</f>
        <v>0</v>
      </c>
    </row>
    <row r="466" spans="2:8" ht="20.100000000000001" customHeight="1">
      <c r="B466" s="120" t="s">
        <v>717</v>
      </c>
      <c r="C466" s="129" t="s">
        <v>718</v>
      </c>
      <c r="D466" s="121">
        <v>0</v>
      </c>
      <c r="E466" s="121">
        <v>0</v>
      </c>
      <c r="F466" s="121">
        <v>0</v>
      </c>
      <c r="G466" s="121">
        <v>0</v>
      </c>
      <c r="H466" s="122">
        <f t="shared" ref="H466" si="101">G466+F466+E466+D466</f>
        <v>0</v>
      </c>
    </row>
    <row r="467" spans="2:8" ht="20.100000000000001" customHeight="1">
      <c r="B467" s="120" t="s">
        <v>495</v>
      </c>
      <c r="C467" s="129" t="s">
        <v>496</v>
      </c>
      <c r="D467" s="121">
        <v>0</v>
      </c>
      <c r="E467" s="121">
        <v>0</v>
      </c>
      <c r="F467" s="121">
        <v>0</v>
      </c>
      <c r="G467" s="121">
        <v>0</v>
      </c>
      <c r="H467" s="122">
        <f t="shared" si="98"/>
        <v>0</v>
      </c>
    </row>
    <row r="468" spans="2:8" ht="20.100000000000001" customHeight="1">
      <c r="B468" s="120" t="s">
        <v>715</v>
      </c>
      <c r="C468" s="129" t="s">
        <v>716</v>
      </c>
      <c r="D468" s="121">
        <v>0</v>
      </c>
      <c r="E468" s="121">
        <v>0</v>
      </c>
      <c r="F468" s="121">
        <v>0</v>
      </c>
      <c r="G468" s="121">
        <v>0</v>
      </c>
      <c r="H468" s="122">
        <f t="shared" ref="H468" si="102">G468+F468+E468+D468</f>
        <v>0</v>
      </c>
    </row>
    <row r="469" spans="2:8" ht="20.100000000000001" customHeight="1">
      <c r="B469" s="120" t="s">
        <v>497</v>
      </c>
      <c r="C469" s="129" t="s">
        <v>971</v>
      </c>
      <c r="D469" s="121">
        <v>0</v>
      </c>
      <c r="E469" s="121">
        <v>0</v>
      </c>
      <c r="F469" s="121">
        <v>0</v>
      </c>
      <c r="G469" s="121">
        <v>0</v>
      </c>
      <c r="H469" s="122">
        <f t="shared" si="98"/>
        <v>0</v>
      </c>
    </row>
    <row r="470" spans="2:8" ht="20.100000000000001" customHeight="1">
      <c r="B470" s="120" t="s">
        <v>499</v>
      </c>
      <c r="C470" s="129" t="s">
        <v>934</v>
      </c>
      <c r="D470" s="121">
        <v>0</v>
      </c>
      <c r="E470" s="121">
        <v>0</v>
      </c>
      <c r="F470" s="121">
        <v>0</v>
      </c>
      <c r="G470" s="121">
        <v>0</v>
      </c>
      <c r="H470" s="122">
        <f t="shared" si="98"/>
        <v>0</v>
      </c>
    </row>
    <row r="471" spans="2:8" ht="20.100000000000001" customHeight="1">
      <c r="B471" s="120" t="s">
        <v>1041</v>
      </c>
      <c r="C471" s="120" t="s">
        <v>677</v>
      </c>
      <c r="D471" s="121">
        <v>0</v>
      </c>
      <c r="E471" s="121">
        <v>0</v>
      </c>
      <c r="F471" s="121">
        <v>0</v>
      </c>
      <c r="G471" s="121">
        <v>0</v>
      </c>
      <c r="H471" s="122">
        <f t="shared" si="98"/>
        <v>0</v>
      </c>
    </row>
    <row r="472" spans="2:8" ht="20.100000000000001" customHeight="1">
      <c r="B472" s="120" t="s">
        <v>1028</v>
      </c>
      <c r="C472" s="120" t="s">
        <v>1029</v>
      </c>
      <c r="D472" s="121">
        <v>0</v>
      </c>
      <c r="E472" s="121">
        <v>0</v>
      </c>
      <c r="F472" s="121">
        <v>0</v>
      </c>
      <c r="G472" s="121">
        <v>0</v>
      </c>
      <c r="H472" s="122">
        <f t="shared" ref="H472" si="103">G472+F472+E472+D472</f>
        <v>0</v>
      </c>
    </row>
    <row r="473" spans="2:8" ht="20.100000000000001" customHeight="1">
      <c r="B473" s="120" t="s">
        <v>1040</v>
      </c>
      <c r="C473" s="120" t="s">
        <v>1030</v>
      </c>
      <c r="D473" s="121">
        <v>0</v>
      </c>
      <c r="E473" s="121">
        <v>0</v>
      </c>
      <c r="F473" s="121">
        <v>0</v>
      </c>
      <c r="G473" s="121">
        <v>0</v>
      </c>
      <c r="H473" s="122">
        <f t="shared" ref="H473" si="104">G473+F473+E473+D473</f>
        <v>0</v>
      </c>
    </row>
    <row r="474" spans="2:8" ht="20.100000000000001" customHeight="1">
      <c r="B474" s="120" t="s">
        <v>1039</v>
      </c>
      <c r="C474" s="120" t="s">
        <v>806</v>
      </c>
      <c r="D474" s="121">
        <v>0</v>
      </c>
      <c r="E474" s="121">
        <v>0</v>
      </c>
      <c r="F474" s="121">
        <v>0</v>
      </c>
      <c r="G474" s="121">
        <v>0</v>
      </c>
      <c r="H474" s="122">
        <f t="shared" ref="H474" si="105">G474+F474+E474+D474</f>
        <v>0</v>
      </c>
    </row>
    <row r="475" spans="2:8" ht="20.100000000000001" customHeight="1">
      <c r="B475" s="120" t="s">
        <v>493</v>
      </c>
      <c r="C475" s="120" t="s">
        <v>678</v>
      </c>
      <c r="D475" s="121">
        <v>0</v>
      </c>
      <c r="E475" s="121"/>
      <c r="F475" s="121">
        <v>0</v>
      </c>
      <c r="G475" s="121"/>
      <c r="H475" s="122">
        <f t="shared" si="98"/>
        <v>0</v>
      </c>
    </row>
    <row r="476" spans="2:8" ht="20.100000000000001" customHeight="1">
      <c r="B476" s="120" t="s">
        <v>941</v>
      </c>
      <c r="C476" s="120" t="s">
        <v>933</v>
      </c>
      <c r="D476" s="121">
        <v>0</v>
      </c>
      <c r="E476" s="121">
        <v>0</v>
      </c>
      <c r="F476" s="121">
        <v>0</v>
      </c>
      <c r="G476" s="121">
        <v>0</v>
      </c>
      <c r="H476" s="122">
        <f t="shared" si="98"/>
        <v>0</v>
      </c>
    </row>
    <row r="477" spans="2:8" ht="20.100000000000001" customHeight="1">
      <c r="B477" s="120" t="s">
        <v>316</v>
      </c>
      <c r="C477" s="120" t="s">
        <v>317</v>
      </c>
      <c r="D477" s="121">
        <v>0</v>
      </c>
      <c r="E477" s="121">
        <v>0</v>
      </c>
      <c r="F477" s="121">
        <v>0</v>
      </c>
      <c r="G477" s="121">
        <v>0</v>
      </c>
      <c r="H477" s="122">
        <f t="shared" ref="H477" si="106">G477+F477+E477+D477</f>
        <v>0</v>
      </c>
    </row>
    <row r="478" spans="2:8" ht="20.100000000000001" customHeight="1">
      <c r="B478" s="120" t="s">
        <v>681</v>
      </c>
      <c r="C478" s="120" t="s">
        <v>682</v>
      </c>
      <c r="D478" s="121">
        <v>0</v>
      </c>
      <c r="E478" s="121">
        <v>0</v>
      </c>
      <c r="F478" s="121">
        <v>0</v>
      </c>
      <c r="G478" s="121">
        <v>0</v>
      </c>
      <c r="H478" s="122">
        <f t="shared" si="98"/>
        <v>0</v>
      </c>
    </row>
    <row r="479" spans="2:8" ht="20.100000000000001" customHeight="1">
      <c r="B479" s="120" t="s">
        <v>500</v>
      </c>
      <c r="C479" s="120" t="s">
        <v>679</v>
      </c>
      <c r="D479" s="121">
        <v>0</v>
      </c>
      <c r="E479" s="121">
        <v>0</v>
      </c>
      <c r="F479" s="121">
        <v>0</v>
      </c>
      <c r="G479" s="121">
        <v>0</v>
      </c>
      <c r="H479" s="122">
        <f t="shared" si="98"/>
        <v>0</v>
      </c>
    </row>
    <row r="480" spans="2:8" ht="20.100000000000001" customHeight="1">
      <c r="B480" s="120" t="s">
        <v>494</v>
      </c>
      <c r="C480" s="120" t="s">
        <v>680</v>
      </c>
      <c r="D480" s="121">
        <v>0</v>
      </c>
      <c r="E480" s="121">
        <v>0</v>
      </c>
      <c r="F480" s="121">
        <v>0</v>
      </c>
      <c r="G480" s="121"/>
      <c r="H480" s="122">
        <f t="shared" si="98"/>
        <v>0</v>
      </c>
    </row>
    <row r="481" spans="2:8" ht="20.100000000000001" customHeight="1">
      <c r="B481" s="120" t="s">
        <v>76</v>
      </c>
      <c r="C481" s="120" t="s">
        <v>75</v>
      </c>
      <c r="D481" s="121"/>
      <c r="E481" s="121">
        <v>0</v>
      </c>
      <c r="F481" s="121">
        <v>0</v>
      </c>
      <c r="G481" s="121"/>
      <c r="H481" s="122">
        <f t="shared" si="98"/>
        <v>0</v>
      </c>
    </row>
    <row r="482" spans="2:8" ht="20.100000000000001" customHeight="1">
      <c r="B482" s="120" t="s">
        <v>77</v>
      </c>
      <c r="C482" s="120" t="s">
        <v>78</v>
      </c>
      <c r="D482" s="121">
        <v>0</v>
      </c>
      <c r="E482" s="121">
        <v>0</v>
      </c>
      <c r="F482" s="121">
        <v>0</v>
      </c>
      <c r="G482" s="121">
        <v>0</v>
      </c>
      <c r="H482" s="122">
        <f t="shared" si="98"/>
        <v>0</v>
      </c>
    </row>
    <row r="483" spans="2:8" ht="20.100000000000001" customHeight="1">
      <c r="B483" s="120" t="s">
        <v>77</v>
      </c>
      <c r="C483" s="120" t="s">
        <v>79</v>
      </c>
      <c r="D483" s="121">
        <v>0</v>
      </c>
      <c r="E483" s="121">
        <v>0</v>
      </c>
      <c r="F483" s="121"/>
      <c r="G483" s="121">
        <v>0</v>
      </c>
      <c r="H483" s="122">
        <f t="shared" si="98"/>
        <v>0</v>
      </c>
    </row>
    <row r="484" spans="2:8" ht="20.100000000000001" customHeight="1">
      <c r="B484" s="120" t="s">
        <v>80</v>
      </c>
      <c r="C484" s="120" t="s">
        <v>81</v>
      </c>
      <c r="D484" s="121">
        <v>0</v>
      </c>
      <c r="E484" s="121">
        <v>0</v>
      </c>
      <c r="F484" s="121">
        <v>0</v>
      </c>
      <c r="G484" s="121">
        <v>0</v>
      </c>
      <c r="H484" s="122">
        <f t="shared" si="98"/>
        <v>0</v>
      </c>
    </row>
    <row r="485" spans="2:8" ht="20.100000000000001" customHeight="1">
      <c r="B485" s="120" t="s">
        <v>82</v>
      </c>
      <c r="C485" s="120" t="s">
        <v>83</v>
      </c>
      <c r="D485" s="121">
        <v>0</v>
      </c>
      <c r="E485" s="121"/>
      <c r="F485" s="121">
        <v>0</v>
      </c>
      <c r="G485" s="121">
        <v>0</v>
      </c>
      <c r="H485" s="122">
        <f t="shared" si="98"/>
        <v>0</v>
      </c>
    </row>
    <row r="486" spans="2:8" ht="20.100000000000001" customHeight="1">
      <c r="B486" s="120" t="s">
        <v>491</v>
      </c>
      <c r="C486" s="120" t="s">
        <v>492</v>
      </c>
      <c r="D486" s="121">
        <v>0</v>
      </c>
      <c r="E486" s="121">
        <v>0</v>
      </c>
      <c r="F486" s="121">
        <v>0</v>
      </c>
      <c r="G486" s="121">
        <v>0</v>
      </c>
      <c r="H486" s="122">
        <f t="shared" si="98"/>
        <v>0</v>
      </c>
    </row>
    <row r="487" spans="2:8" ht="20.100000000000001" customHeight="1">
      <c r="B487" s="120" t="s">
        <v>80</v>
      </c>
      <c r="C487" s="120" t="s">
        <v>128</v>
      </c>
      <c r="D487" s="121">
        <v>0</v>
      </c>
      <c r="E487" s="121"/>
      <c r="F487" s="121">
        <v>0</v>
      </c>
      <c r="G487" s="121">
        <v>0</v>
      </c>
      <c r="H487" s="122">
        <f t="shared" si="98"/>
        <v>0</v>
      </c>
    </row>
    <row r="488" spans="2:8" ht="20.100000000000001" customHeight="1">
      <c r="B488" s="120" t="s">
        <v>80</v>
      </c>
      <c r="C488" s="120" t="s">
        <v>84</v>
      </c>
      <c r="D488" s="121">
        <v>0</v>
      </c>
      <c r="E488" s="121"/>
      <c r="F488" s="121">
        <v>0</v>
      </c>
      <c r="G488" s="121">
        <v>0</v>
      </c>
      <c r="H488" s="122">
        <f t="shared" si="98"/>
        <v>0</v>
      </c>
    </row>
    <row r="489" spans="2:8" ht="20.100000000000001" customHeight="1">
      <c r="B489" s="120" t="s">
        <v>85</v>
      </c>
      <c r="C489" s="120" t="s">
        <v>86</v>
      </c>
      <c r="D489" s="121">
        <v>0</v>
      </c>
      <c r="E489" s="121">
        <v>0</v>
      </c>
      <c r="F489" s="121">
        <v>0</v>
      </c>
      <c r="G489" s="121">
        <v>0</v>
      </c>
      <c r="H489" s="122">
        <f t="shared" si="98"/>
        <v>0</v>
      </c>
    </row>
    <row r="490" spans="2:8" ht="20.100000000000001" customHeight="1">
      <c r="B490" s="120" t="s">
        <v>314</v>
      </c>
      <c r="C490" s="120" t="s">
        <v>502</v>
      </c>
      <c r="D490" s="121">
        <v>0</v>
      </c>
      <c r="E490" s="121">
        <v>0</v>
      </c>
      <c r="F490" s="121">
        <v>0</v>
      </c>
      <c r="G490" s="121">
        <v>0</v>
      </c>
      <c r="H490" s="122">
        <f t="shared" si="98"/>
        <v>0</v>
      </c>
    </row>
    <row r="491" spans="2:8" ht="20.100000000000001" customHeight="1">
      <c r="B491" s="120" t="s">
        <v>314</v>
      </c>
      <c r="C491" s="120" t="s">
        <v>501</v>
      </c>
      <c r="D491" s="121">
        <v>0</v>
      </c>
      <c r="E491" s="121">
        <v>0</v>
      </c>
      <c r="F491" s="121">
        <v>0</v>
      </c>
      <c r="G491" s="121">
        <v>0</v>
      </c>
      <c r="H491" s="122">
        <f t="shared" si="98"/>
        <v>0</v>
      </c>
    </row>
    <row r="492" spans="2:8" ht="20.100000000000001" customHeight="1">
      <c r="B492" s="126" t="s">
        <v>503</v>
      </c>
      <c r="C492" s="126" t="s">
        <v>504</v>
      </c>
      <c r="D492" s="127">
        <v>0</v>
      </c>
      <c r="E492" s="127">
        <v>0</v>
      </c>
      <c r="F492" s="127">
        <v>0</v>
      </c>
      <c r="G492" s="127">
        <v>0</v>
      </c>
      <c r="H492" s="128">
        <f t="shared" si="98"/>
        <v>0</v>
      </c>
    </row>
    <row r="493" spans="2:8" ht="20.100000000000001" customHeight="1" thickBot="1">
      <c r="B493" s="352" t="s">
        <v>87</v>
      </c>
      <c r="C493" s="353"/>
      <c r="D493" s="143">
        <f t="shared" ref="D493:H493" si="107">SUM(D462:D492)</f>
        <v>0</v>
      </c>
      <c r="E493" s="143">
        <f t="shared" si="107"/>
        <v>0</v>
      </c>
      <c r="F493" s="143">
        <f t="shared" si="107"/>
        <v>0</v>
      </c>
      <c r="G493" s="143">
        <f t="shared" si="107"/>
        <v>0</v>
      </c>
      <c r="H493" s="143">
        <f t="shared" si="107"/>
        <v>0</v>
      </c>
    </row>
    <row r="494" spans="2:8" ht="20.100000000000001" customHeight="1">
      <c r="B494" s="146"/>
      <c r="C494" s="146"/>
      <c r="D494" s="147"/>
      <c r="E494" s="147"/>
      <c r="F494" s="147"/>
      <c r="G494" s="147"/>
      <c r="H494" s="147"/>
    </row>
    <row r="495" spans="2:8" ht="20.100000000000001" customHeight="1" thickBot="1">
      <c r="B495" s="148"/>
      <c r="C495" s="148"/>
      <c r="D495" s="149"/>
      <c r="E495" s="149"/>
      <c r="F495" s="149"/>
      <c r="G495" s="149"/>
      <c r="H495" s="149"/>
    </row>
    <row r="496" spans="2:8" ht="20.100000000000001" customHeight="1">
      <c r="B496" s="144" t="s">
        <v>88</v>
      </c>
      <c r="C496" s="144"/>
      <c r="D496" s="144"/>
      <c r="E496" s="145"/>
      <c r="F496" s="144"/>
      <c r="G496" s="144"/>
      <c r="H496" s="144"/>
    </row>
    <row r="497" spans="2:8" ht="20.100000000000001" customHeight="1">
      <c r="B497" s="134" t="s">
        <v>505</v>
      </c>
      <c r="C497" s="134" t="s">
        <v>988</v>
      </c>
      <c r="D497" s="135">
        <v>0</v>
      </c>
      <c r="E497" s="135">
        <v>0</v>
      </c>
      <c r="F497" s="135">
        <v>0</v>
      </c>
      <c r="G497" s="135">
        <v>0</v>
      </c>
      <c r="H497" s="136">
        <f t="shared" ref="H497:H503" si="108">G497+F497+E497+D497</f>
        <v>0</v>
      </c>
    </row>
    <row r="498" spans="2:8" ht="20.100000000000001" customHeight="1">
      <c r="B498" s="134" t="s">
        <v>322</v>
      </c>
      <c r="C498" s="134" t="s">
        <v>989</v>
      </c>
      <c r="D498" s="135">
        <v>0</v>
      </c>
      <c r="E498" s="135">
        <v>0</v>
      </c>
      <c r="F498" s="135">
        <v>0</v>
      </c>
      <c r="G498" s="135">
        <v>0</v>
      </c>
      <c r="H498" s="136">
        <f t="shared" si="108"/>
        <v>0</v>
      </c>
    </row>
    <row r="499" spans="2:8" ht="20.100000000000001" customHeight="1">
      <c r="B499" s="134" t="s">
        <v>1031</v>
      </c>
      <c r="C499" s="134" t="s">
        <v>1038</v>
      </c>
      <c r="D499" s="135">
        <v>0</v>
      </c>
      <c r="E499" s="135">
        <v>0</v>
      </c>
      <c r="F499" s="135">
        <v>0</v>
      </c>
      <c r="G499" s="135">
        <v>0</v>
      </c>
      <c r="H499" s="136">
        <f t="shared" ref="H499" si="109">G499+F499+E499+D499</f>
        <v>0</v>
      </c>
    </row>
    <row r="500" spans="2:8" ht="20.100000000000001" customHeight="1">
      <c r="B500" s="134" t="s">
        <v>506</v>
      </c>
      <c r="C500" s="134" t="s">
        <v>990</v>
      </c>
      <c r="D500" s="135">
        <v>0</v>
      </c>
      <c r="E500" s="135">
        <v>0</v>
      </c>
      <c r="F500" s="135">
        <v>0</v>
      </c>
      <c r="G500" s="135">
        <v>0</v>
      </c>
      <c r="H500" s="136">
        <f t="shared" si="108"/>
        <v>0</v>
      </c>
    </row>
    <row r="501" spans="2:8" ht="20.100000000000001" customHeight="1">
      <c r="B501" s="134" t="s">
        <v>507</v>
      </c>
      <c r="C501" s="134" t="s">
        <v>991</v>
      </c>
      <c r="D501" s="135">
        <v>0</v>
      </c>
      <c r="E501" s="135">
        <v>0</v>
      </c>
      <c r="F501" s="135">
        <v>0</v>
      </c>
      <c r="G501" s="135">
        <v>0</v>
      </c>
      <c r="H501" s="136">
        <f t="shared" si="108"/>
        <v>0</v>
      </c>
    </row>
    <row r="502" spans="2:8" ht="20.100000000000001" customHeight="1">
      <c r="B502" s="134" t="s">
        <v>986</v>
      </c>
      <c r="C502" s="134" t="s">
        <v>987</v>
      </c>
      <c r="D502" s="135">
        <v>0</v>
      </c>
      <c r="E502" s="135">
        <v>0</v>
      </c>
      <c r="F502" s="135">
        <v>0</v>
      </c>
      <c r="G502" s="135">
        <v>0</v>
      </c>
      <c r="H502" s="136">
        <f t="shared" si="108"/>
        <v>0</v>
      </c>
    </row>
    <row r="503" spans="2:8" ht="20.100000000000001" customHeight="1">
      <c r="B503" s="88" t="s">
        <v>1071</v>
      </c>
      <c r="C503" s="88" t="s">
        <v>1072</v>
      </c>
      <c r="D503" s="135">
        <v>0</v>
      </c>
      <c r="E503" s="135">
        <v>0</v>
      </c>
      <c r="F503" s="135">
        <v>0</v>
      </c>
      <c r="G503" s="135">
        <v>0</v>
      </c>
      <c r="H503" s="136">
        <f t="shared" si="108"/>
        <v>0</v>
      </c>
    </row>
    <row r="504" spans="2:8" ht="20.100000000000001" customHeight="1">
      <c r="B504" s="134"/>
      <c r="C504" s="134"/>
      <c r="D504" s="135"/>
      <c r="E504" s="135"/>
      <c r="F504" s="135"/>
      <c r="G504" s="135"/>
      <c r="H504" s="136"/>
    </row>
    <row r="505" spans="2:8" ht="15.75">
      <c r="B505" s="320" t="s">
        <v>89</v>
      </c>
      <c r="C505" s="321"/>
      <c r="D505" s="48">
        <f>SUM(D497:D504)</f>
        <v>0</v>
      </c>
      <c r="E505" s="48">
        <f>SUM(E497:E504)</f>
        <v>0</v>
      </c>
      <c r="F505" s="48">
        <f>SUM(F497:F504)</f>
        <v>0</v>
      </c>
      <c r="G505" s="48">
        <f>SUM(G497:G504)</f>
        <v>0</v>
      </c>
      <c r="H505" s="48">
        <f>SUM(H497:H504)</f>
        <v>0</v>
      </c>
    </row>
    <row r="506" spans="2:8" ht="15.75" thickBot="1">
      <c r="B506" s="18"/>
      <c r="C506" s="18"/>
      <c r="D506" s="2"/>
      <c r="E506" s="2"/>
      <c r="F506" s="2"/>
      <c r="G506" s="2"/>
      <c r="H506" s="2"/>
    </row>
    <row r="507" spans="2:8" ht="20.100000000000001" customHeight="1">
      <c r="B507" s="33" t="s">
        <v>90</v>
      </c>
      <c r="C507" s="34"/>
      <c r="D507" s="34"/>
      <c r="E507" s="34"/>
      <c r="F507" s="34"/>
      <c r="G507" s="34"/>
      <c r="H507" s="39"/>
    </row>
    <row r="508" spans="2:8" ht="20.100000000000001" customHeight="1">
      <c r="B508" s="117" t="s">
        <v>521</v>
      </c>
      <c r="C508" s="137" t="s">
        <v>522</v>
      </c>
      <c r="D508" s="118">
        <v>0</v>
      </c>
      <c r="E508" s="118">
        <v>0</v>
      </c>
      <c r="F508" s="118">
        <v>0</v>
      </c>
      <c r="G508" s="118">
        <v>0</v>
      </c>
      <c r="H508" s="119">
        <f t="shared" ref="H508:H528" si="110">G508+F508+E508+D508</f>
        <v>0</v>
      </c>
    </row>
    <row r="509" spans="2:8" ht="20.100000000000001" customHeight="1">
      <c r="B509" s="117" t="s">
        <v>523</v>
      </c>
      <c r="C509" s="137" t="s">
        <v>524</v>
      </c>
      <c r="D509" s="121">
        <v>0</v>
      </c>
      <c r="E509" s="121">
        <v>0</v>
      </c>
      <c r="F509" s="121">
        <v>0</v>
      </c>
      <c r="G509" s="121">
        <v>0</v>
      </c>
      <c r="H509" s="122">
        <f t="shared" si="110"/>
        <v>0</v>
      </c>
    </row>
    <row r="510" spans="2:8" ht="20.100000000000001" customHeight="1">
      <c r="B510" s="120" t="s">
        <v>525</v>
      </c>
      <c r="C510" s="138" t="s">
        <v>522</v>
      </c>
      <c r="D510" s="121">
        <v>0</v>
      </c>
      <c r="E510" s="121">
        <v>0</v>
      </c>
      <c r="F510" s="121">
        <v>0</v>
      </c>
      <c r="G510" s="121">
        <v>0</v>
      </c>
      <c r="H510" s="122">
        <f t="shared" si="110"/>
        <v>0</v>
      </c>
    </row>
    <row r="511" spans="2:8" ht="20.100000000000001" customHeight="1">
      <c r="B511" s="120" t="s">
        <v>526</v>
      </c>
      <c r="C511" s="138" t="s">
        <v>527</v>
      </c>
      <c r="D511" s="121">
        <v>0</v>
      </c>
      <c r="E511" s="121">
        <v>0</v>
      </c>
      <c r="F511" s="121">
        <v>0</v>
      </c>
      <c r="G511" s="121">
        <v>0</v>
      </c>
      <c r="H511" s="122">
        <f t="shared" si="110"/>
        <v>0</v>
      </c>
    </row>
    <row r="512" spans="2:8" ht="20.100000000000001" customHeight="1">
      <c r="B512" s="120" t="s">
        <v>528</v>
      </c>
      <c r="C512" s="138" t="s">
        <v>529</v>
      </c>
      <c r="D512" s="121">
        <v>0</v>
      </c>
      <c r="E512" s="121">
        <v>0</v>
      </c>
      <c r="F512" s="121">
        <v>0</v>
      </c>
      <c r="G512" s="121">
        <v>0</v>
      </c>
      <c r="H512" s="122">
        <f t="shared" si="110"/>
        <v>0</v>
      </c>
    </row>
    <row r="513" spans="2:8" ht="20.100000000000001" customHeight="1">
      <c r="B513" s="120" t="s">
        <v>938</v>
      </c>
      <c r="C513" s="138" t="s">
        <v>916</v>
      </c>
      <c r="D513" s="121">
        <v>0</v>
      </c>
      <c r="E513" s="121">
        <v>0</v>
      </c>
      <c r="F513" s="121">
        <v>0</v>
      </c>
      <c r="G513" s="121">
        <v>0</v>
      </c>
      <c r="H513" s="122">
        <f t="shared" ref="H513" si="111">G513+F513+E513+D513</f>
        <v>0</v>
      </c>
    </row>
    <row r="514" spans="2:8" ht="20.100000000000001" customHeight="1">
      <c r="B514" s="120" t="s">
        <v>530</v>
      </c>
      <c r="C514" s="138" t="s">
        <v>91</v>
      </c>
      <c r="D514" s="121">
        <v>0</v>
      </c>
      <c r="E514" s="121">
        <v>0</v>
      </c>
      <c r="F514" s="121">
        <v>0</v>
      </c>
      <c r="G514" s="121">
        <v>0</v>
      </c>
      <c r="H514" s="122">
        <f t="shared" si="110"/>
        <v>0</v>
      </c>
    </row>
    <row r="515" spans="2:8" ht="20.100000000000001" customHeight="1">
      <c r="B515" s="139" t="s">
        <v>92</v>
      </c>
      <c r="C515" s="138" t="s">
        <v>93</v>
      </c>
      <c r="D515" s="121">
        <v>0</v>
      </c>
      <c r="E515" s="121">
        <v>0</v>
      </c>
      <c r="F515" s="121">
        <v>0</v>
      </c>
      <c r="G515" s="121">
        <v>0</v>
      </c>
      <c r="H515" s="122">
        <f t="shared" si="110"/>
        <v>0</v>
      </c>
    </row>
    <row r="516" spans="2:8" ht="20.100000000000001" customHeight="1">
      <c r="B516" s="120" t="s">
        <v>565</v>
      </c>
      <c r="C516" s="138" t="s">
        <v>566</v>
      </c>
      <c r="D516" s="121">
        <v>0</v>
      </c>
      <c r="E516" s="121">
        <v>0</v>
      </c>
      <c r="F516" s="121">
        <v>0</v>
      </c>
      <c r="G516" s="121">
        <v>0</v>
      </c>
      <c r="H516" s="122">
        <f t="shared" si="110"/>
        <v>0</v>
      </c>
    </row>
    <row r="517" spans="2:8" ht="20.100000000000001" customHeight="1">
      <c r="B517" s="120" t="s">
        <v>531</v>
      </c>
      <c r="C517" s="138" t="s">
        <v>532</v>
      </c>
      <c r="D517" s="121">
        <v>0</v>
      </c>
      <c r="E517" s="121"/>
      <c r="F517" s="121">
        <v>0</v>
      </c>
      <c r="G517" s="121">
        <v>0</v>
      </c>
      <c r="H517" s="122">
        <f t="shared" si="110"/>
        <v>0</v>
      </c>
    </row>
    <row r="518" spans="2:8" ht="20.100000000000001" customHeight="1">
      <c r="B518" s="120" t="s">
        <v>533</v>
      </c>
      <c r="C518" s="138" t="s">
        <v>534</v>
      </c>
      <c r="D518" s="121">
        <v>0</v>
      </c>
      <c r="E518" s="121">
        <v>0</v>
      </c>
      <c r="F518" s="121">
        <v>0</v>
      </c>
      <c r="G518" s="121">
        <v>0</v>
      </c>
      <c r="H518" s="122">
        <f t="shared" si="110"/>
        <v>0</v>
      </c>
    </row>
    <row r="519" spans="2:8" ht="20.100000000000001" customHeight="1">
      <c r="B519" s="120" t="s">
        <v>537</v>
      </c>
      <c r="C519" s="138" t="s">
        <v>538</v>
      </c>
      <c r="D519" s="121">
        <v>0</v>
      </c>
      <c r="E519" s="121"/>
      <c r="F519" s="121">
        <v>0</v>
      </c>
      <c r="G519" s="121">
        <v>0</v>
      </c>
      <c r="H519" s="122">
        <f>G519+F519+E519+D519</f>
        <v>0</v>
      </c>
    </row>
    <row r="520" spans="2:8" ht="20.100000000000001" customHeight="1">
      <c r="B520" s="120" t="s">
        <v>535</v>
      </c>
      <c r="C520" s="129" t="s">
        <v>536</v>
      </c>
      <c r="D520" s="140">
        <v>0</v>
      </c>
      <c r="E520" s="141">
        <v>0</v>
      </c>
      <c r="F520" s="140">
        <v>0</v>
      </c>
      <c r="G520" s="141">
        <v>0</v>
      </c>
      <c r="H520" s="122">
        <f t="shared" si="110"/>
        <v>0</v>
      </c>
    </row>
    <row r="521" spans="2:8" ht="20.100000000000001" customHeight="1">
      <c r="B521" s="120" t="s">
        <v>94</v>
      </c>
      <c r="C521" s="129" t="s">
        <v>95</v>
      </c>
      <c r="D521" s="140">
        <v>0</v>
      </c>
      <c r="E521" s="141">
        <v>0</v>
      </c>
      <c r="F521" s="140">
        <v>0</v>
      </c>
      <c r="G521" s="141">
        <v>0</v>
      </c>
      <c r="H521" s="122">
        <f t="shared" si="110"/>
        <v>0</v>
      </c>
    </row>
    <row r="522" spans="2:8" ht="20.100000000000001" customHeight="1">
      <c r="B522" s="120" t="s">
        <v>514</v>
      </c>
      <c r="C522" s="129" t="s">
        <v>515</v>
      </c>
      <c r="D522" s="121">
        <v>0</v>
      </c>
      <c r="E522" s="121">
        <v>0</v>
      </c>
      <c r="F522" s="121">
        <v>0</v>
      </c>
      <c r="G522" s="121">
        <v>0</v>
      </c>
      <c r="H522" s="122">
        <f t="shared" si="110"/>
        <v>0</v>
      </c>
    </row>
    <row r="523" spans="2:8" ht="20.100000000000001" customHeight="1">
      <c r="B523" s="120" t="s">
        <v>571</v>
      </c>
      <c r="C523" s="129" t="s">
        <v>572</v>
      </c>
      <c r="D523" s="121">
        <v>0</v>
      </c>
      <c r="E523" s="121">
        <v>0</v>
      </c>
      <c r="F523" s="121">
        <v>0</v>
      </c>
      <c r="G523" s="121">
        <v>0</v>
      </c>
      <c r="H523" s="122">
        <f t="shared" si="110"/>
        <v>0</v>
      </c>
    </row>
    <row r="524" spans="2:8" ht="20.100000000000001" customHeight="1">
      <c r="B524" s="120" t="s">
        <v>567</v>
      </c>
      <c r="C524" s="129" t="s">
        <v>568</v>
      </c>
      <c r="D524" s="121">
        <v>0</v>
      </c>
      <c r="E524" s="121">
        <v>0</v>
      </c>
      <c r="F524" s="121">
        <v>0</v>
      </c>
      <c r="G524" s="121">
        <v>0</v>
      </c>
      <c r="H524" s="122">
        <f t="shared" si="110"/>
        <v>0</v>
      </c>
    </row>
    <row r="525" spans="2:8" ht="19.5" customHeight="1">
      <c r="B525" s="120" t="s">
        <v>569</v>
      </c>
      <c r="C525" s="129" t="s">
        <v>570</v>
      </c>
      <c r="D525" s="121">
        <v>0</v>
      </c>
      <c r="E525" s="121">
        <v>0</v>
      </c>
      <c r="F525" s="121">
        <v>0</v>
      </c>
      <c r="G525" s="121">
        <v>0</v>
      </c>
      <c r="H525" s="122">
        <f t="shared" si="110"/>
        <v>0</v>
      </c>
    </row>
    <row r="526" spans="2:8" ht="19.5" customHeight="1">
      <c r="B526" s="120" t="s">
        <v>687</v>
      </c>
      <c r="C526" s="129" t="s">
        <v>572</v>
      </c>
      <c r="D526" s="121">
        <v>0</v>
      </c>
      <c r="E526" s="121">
        <v>0</v>
      </c>
      <c r="F526" s="121">
        <v>0</v>
      </c>
      <c r="G526" s="121">
        <v>0</v>
      </c>
      <c r="H526" s="122">
        <f t="shared" ref="H526" si="112">G526+F526+E526+D526</f>
        <v>0</v>
      </c>
    </row>
    <row r="527" spans="2:8" ht="19.5" customHeight="1">
      <c r="B527" s="120" t="s">
        <v>539</v>
      </c>
      <c r="C527" s="138" t="s">
        <v>540</v>
      </c>
      <c r="D527" s="121">
        <v>0</v>
      </c>
      <c r="E527" s="121">
        <v>0</v>
      </c>
      <c r="F527" s="121">
        <v>0</v>
      </c>
      <c r="G527" s="121">
        <v>0</v>
      </c>
      <c r="H527" s="122">
        <f t="shared" si="110"/>
        <v>0</v>
      </c>
    </row>
    <row r="528" spans="2:8" ht="19.5" customHeight="1">
      <c r="B528" s="120" t="s">
        <v>541</v>
      </c>
      <c r="C528" s="138" t="s">
        <v>1044</v>
      </c>
      <c r="D528" s="127">
        <v>0</v>
      </c>
      <c r="E528" s="127">
        <v>0</v>
      </c>
      <c r="F528" s="127">
        <v>0</v>
      </c>
      <c r="G528" s="127">
        <v>0</v>
      </c>
      <c r="H528" s="128">
        <f t="shared" si="110"/>
        <v>0</v>
      </c>
    </row>
    <row r="529" spans="2:8" ht="15.75">
      <c r="B529" s="320" t="s">
        <v>96</v>
      </c>
      <c r="C529" s="321"/>
      <c r="D529" s="48">
        <f t="shared" ref="D529:H529" si="113">SUM(D508:D528)</f>
        <v>0</v>
      </c>
      <c r="E529" s="48">
        <f t="shared" si="113"/>
        <v>0</v>
      </c>
      <c r="F529" s="48">
        <f t="shared" si="113"/>
        <v>0</v>
      </c>
      <c r="G529" s="48">
        <f t="shared" si="113"/>
        <v>0</v>
      </c>
      <c r="H529" s="48">
        <f t="shared" si="113"/>
        <v>0</v>
      </c>
    </row>
    <row r="530" spans="2:8" ht="15.75">
      <c r="B530" s="294" t="s">
        <v>97</v>
      </c>
      <c r="C530" s="295"/>
      <c r="D530" s="36">
        <f>D529+D505</f>
        <v>0</v>
      </c>
      <c r="E530" s="36">
        <f>E529+E505</f>
        <v>0</v>
      </c>
      <c r="F530" s="36">
        <f>F529+F505</f>
        <v>0</v>
      </c>
      <c r="G530" s="36">
        <f>G529+G505</f>
        <v>0</v>
      </c>
      <c r="H530" s="36">
        <f>H529+H505</f>
        <v>0</v>
      </c>
    </row>
    <row r="531" spans="2:8" ht="16.5" thickBot="1">
      <c r="B531" s="15"/>
      <c r="C531" s="15"/>
      <c r="D531" s="16"/>
      <c r="E531" s="16"/>
      <c r="F531" s="16"/>
      <c r="G531" s="16"/>
      <c r="H531" s="16"/>
    </row>
    <row r="532" spans="2:8" ht="20.100000000000001" customHeight="1">
      <c r="B532" s="33" t="s">
        <v>98</v>
      </c>
      <c r="C532" s="34"/>
      <c r="D532" s="34"/>
      <c r="E532" s="34"/>
      <c r="F532" s="34"/>
      <c r="G532" s="34"/>
      <c r="H532" s="39"/>
    </row>
    <row r="533" spans="2:8" ht="20.100000000000001" customHeight="1">
      <c r="B533" s="134" t="s">
        <v>320</v>
      </c>
      <c r="C533" s="134" t="s">
        <v>321</v>
      </c>
      <c r="D533" s="135">
        <v>0</v>
      </c>
      <c r="E533" s="135">
        <v>0</v>
      </c>
      <c r="F533" s="135">
        <v>0</v>
      </c>
      <c r="G533" s="135">
        <v>0</v>
      </c>
      <c r="H533" s="136">
        <f t="shared" ref="H533:H543" si="114">G533+F533+E533+D533</f>
        <v>0</v>
      </c>
    </row>
    <row r="534" spans="2:8" ht="20.100000000000001" customHeight="1">
      <c r="B534" s="134" t="s">
        <v>683</v>
      </c>
      <c r="C534" s="134" t="s">
        <v>935</v>
      </c>
      <c r="D534" s="135">
        <v>0</v>
      </c>
      <c r="E534" s="135">
        <v>0</v>
      </c>
      <c r="F534" s="135">
        <v>0</v>
      </c>
      <c r="G534" s="135">
        <v>0</v>
      </c>
      <c r="H534" s="136">
        <f t="shared" si="114"/>
        <v>0</v>
      </c>
    </row>
    <row r="535" spans="2:8" ht="20.100000000000001" customHeight="1">
      <c r="B535" s="134" t="s">
        <v>683</v>
      </c>
      <c r="C535" s="134" t="s">
        <v>1066</v>
      </c>
      <c r="D535" s="135">
        <v>0</v>
      </c>
      <c r="E535" s="135">
        <v>0</v>
      </c>
      <c r="F535" s="135">
        <v>0</v>
      </c>
      <c r="G535" s="135">
        <v>0</v>
      </c>
      <c r="H535" s="136">
        <f t="shared" ref="H535" si="115">G535+F535+E535+D535</f>
        <v>0</v>
      </c>
    </row>
    <row r="536" spans="2:8" ht="20.100000000000001" customHeight="1">
      <c r="B536" s="134" t="s">
        <v>1091</v>
      </c>
      <c r="C536" s="134" t="s">
        <v>1070</v>
      </c>
      <c r="D536" s="135">
        <v>0</v>
      </c>
      <c r="E536" s="135">
        <v>0</v>
      </c>
      <c r="F536" s="135">
        <v>0</v>
      </c>
      <c r="G536" s="135">
        <v>0</v>
      </c>
      <c r="H536" s="136">
        <f t="shared" ref="H536" si="116">G536+F536+E536+D536</f>
        <v>0</v>
      </c>
    </row>
    <row r="537" spans="2:8" ht="20.100000000000001" customHeight="1">
      <c r="B537" s="134" t="s">
        <v>99</v>
      </c>
      <c r="C537" s="134" t="s">
        <v>185</v>
      </c>
      <c r="D537" s="135">
        <v>0</v>
      </c>
      <c r="E537" s="135">
        <v>0</v>
      </c>
      <c r="F537" s="135">
        <v>0</v>
      </c>
      <c r="G537" s="135">
        <v>0</v>
      </c>
      <c r="H537" s="136">
        <f t="shared" si="114"/>
        <v>0</v>
      </c>
    </row>
    <row r="538" spans="2:8" ht="20.100000000000001" customHeight="1">
      <c r="B538" s="142" t="s">
        <v>100</v>
      </c>
      <c r="C538" s="134" t="s">
        <v>101</v>
      </c>
      <c r="D538" s="135">
        <v>0</v>
      </c>
      <c r="E538" s="135">
        <v>0</v>
      </c>
      <c r="F538" s="135">
        <v>0</v>
      </c>
      <c r="G538" s="135">
        <v>0</v>
      </c>
      <c r="H538" s="136">
        <f t="shared" si="114"/>
        <v>0</v>
      </c>
    </row>
    <row r="539" spans="2:8" ht="20.100000000000001" customHeight="1">
      <c r="B539" s="142" t="s">
        <v>100</v>
      </c>
      <c r="C539" s="134" t="s">
        <v>102</v>
      </c>
      <c r="D539" s="135">
        <v>0</v>
      </c>
      <c r="E539" s="135">
        <v>0</v>
      </c>
      <c r="F539" s="135">
        <v>0</v>
      </c>
      <c r="G539" s="135">
        <v>0</v>
      </c>
      <c r="H539" s="136">
        <f t="shared" si="114"/>
        <v>0</v>
      </c>
    </row>
    <row r="540" spans="2:8" ht="20.100000000000001" customHeight="1">
      <c r="B540" s="134" t="s">
        <v>1067</v>
      </c>
      <c r="C540" s="134" t="s">
        <v>1068</v>
      </c>
      <c r="D540" s="135">
        <v>0</v>
      </c>
      <c r="E540" s="135">
        <v>0</v>
      </c>
      <c r="F540" s="135">
        <v>0</v>
      </c>
      <c r="G540" s="135">
        <v>0</v>
      </c>
      <c r="H540" s="136">
        <f t="shared" si="114"/>
        <v>0</v>
      </c>
    </row>
    <row r="541" spans="2:8" ht="20.100000000000001" customHeight="1">
      <c r="B541" s="134" t="s">
        <v>318</v>
      </c>
      <c r="C541" s="134" t="s">
        <v>319</v>
      </c>
      <c r="D541" s="135">
        <v>0</v>
      </c>
      <c r="E541" s="135">
        <v>0</v>
      </c>
      <c r="F541" s="135">
        <v>0</v>
      </c>
      <c r="G541" s="135">
        <v>0</v>
      </c>
      <c r="H541" s="136">
        <f t="shared" si="114"/>
        <v>0</v>
      </c>
    </row>
    <row r="542" spans="2:8" ht="20.100000000000001" customHeight="1">
      <c r="B542" s="142" t="s">
        <v>103</v>
      </c>
      <c r="C542" s="134" t="s">
        <v>186</v>
      </c>
      <c r="D542" s="135">
        <v>0</v>
      </c>
      <c r="E542" s="135">
        <v>0</v>
      </c>
      <c r="F542" s="135">
        <v>0</v>
      </c>
      <c r="G542" s="135">
        <v>0</v>
      </c>
      <c r="H542" s="136">
        <f t="shared" si="114"/>
        <v>0</v>
      </c>
    </row>
    <row r="543" spans="2:8" ht="20.100000000000001" customHeight="1">
      <c r="B543" s="134" t="s">
        <v>104</v>
      </c>
      <c r="C543" s="134" t="s">
        <v>187</v>
      </c>
      <c r="D543" s="135">
        <v>0</v>
      </c>
      <c r="E543" s="135">
        <v>0</v>
      </c>
      <c r="F543" s="135">
        <v>0</v>
      </c>
      <c r="G543" s="135">
        <v>0</v>
      </c>
      <c r="H543" s="136">
        <f t="shared" si="114"/>
        <v>0</v>
      </c>
    </row>
    <row r="544" spans="2:8" ht="15.75">
      <c r="B544" s="301" t="s">
        <v>105</v>
      </c>
      <c r="C544" s="302"/>
      <c r="D544" s="47">
        <f t="shared" ref="D544:H544" si="117">SUM(D533:D543)</f>
        <v>0</v>
      </c>
      <c r="E544" s="47">
        <f t="shared" si="117"/>
        <v>0</v>
      </c>
      <c r="F544" s="47">
        <f t="shared" si="117"/>
        <v>0</v>
      </c>
      <c r="G544" s="47">
        <f t="shared" si="117"/>
        <v>0</v>
      </c>
      <c r="H544" s="47">
        <f t="shared" si="117"/>
        <v>0</v>
      </c>
    </row>
    <row r="545" spans="2:12" ht="15.75">
      <c r="B545" s="294" t="s">
        <v>106</v>
      </c>
      <c r="C545" s="295"/>
      <c r="D545" s="36">
        <f>D544+D459</f>
        <v>0</v>
      </c>
      <c r="E545" s="36">
        <f>E544+E459</f>
        <v>0</v>
      </c>
      <c r="F545" s="36">
        <f>F544+F459</f>
        <v>0</v>
      </c>
      <c r="G545" s="36">
        <f>G544+G459</f>
        <v>0</v>
      </c>
      <c r="H545" s="36">
        <f>H544+H459</f>
        <v>0</v>
      </c>
    </row>
    <row r="546" spans="2:12" ht="3.75" customHeight="1" thickBot="1">
      <c r="B546" s="49"/>
      <c r="C546" s="49"/>
      <c r="D546" s="51"/>
      <c r="E546" s="51"/>
      <c r="F546" s="51"/>
      <c r="G546" s="51"/>
      <c r="H546" s="51"/>
    </row>
    <row r="547" spans="2:12" ht="16.5" thickBot="1">
      <c r="B547" s="322" t="s">
        <v>107</v>
      </c>
      <c r="C547" s="323"/>
      <c r="D547" s="27">
        <f>D545+D530+D493+D359+D174+D108</f>
        <v>0</v>
      </c>
      <c r="E547" s="27">
        <f>E545+E530+E493+E359+E174+E108</f>
        <v>0</v>
      </c>
      <c r="F547" s="27">
        <f>F545+F530+F493+F359+F174+F108</f>
        <v>0</v>
      </c>
      <c r="G547" s="27">
        <f>G545+G530+G493+G359+G174+G108</f>
        <v>0</v>
      </c>
      <c r="H547" s="27">
        <f>H545+H530+H493+H359+H174+H108</f>
        <v>0</v>
      </c>
    </row>
    <row r="548" spans="2:12" ht="18" customHeight="1">
      <c r="B548" s="19" t="s">
        <v>1181</v>
      </c>
      <c r="C548" s="18"/>
      <c r="D548" s="2"/>
      <c r="E548" s="2"/>
      <c r="F548" s="2"/>
      <c r="G548" s="2"/>
      <c r="H548" s="2"/>
    </row>
    <row r="549" spans="2:12" ht="15" customHeight="1"/>
    <row r="550" spans="2:12" ht="15" customHeight="1"/>
    <row r="551" spans="2:12" ht="30" customHeight="1" thickBot="1"/>
    <row r="552" spans="2:12" ht="24" customHeight="1">
      <c r="B552" s="344" t="s">
        <v>516</v>
      </c>
      <c r="C552" s="347" t="s">
        <v>517</v>
      </c>
      <c r="D552" s="348"/>
      <c r="E552" s="348"/>
      <c r="F552" s="348"/>
      <c r="G552" s="349"/>
      <c r="H552" s="339" t="s">
        <v>5</v>
      </c>
      <c r="I552" s="340"/>
      <c r="J552" s="340"/>
      <c r="K552" s="340"/>
      <c r="L552" s="341"/>
    </row>
    <row r="553" spans="2:12" ht="15" customHeight="1">
      <c r="B553" s="345"/>
      <c r="C553" s="163" t="s">
        <v>120</v>
      </c>
      <c r="D553" s="161" t="s">
        <v>121</v>
      </c>
      <c r="E553" s="161" t="s">
        <v>122</v>
      </c>
      <c r="F553" s="162" t="s">
        <v>123</v>
      </c>
      <c r="G553" s="350" t="s">
        <v>12</v>
      </c>
      <c r="H553" s="152" t="s">
        <v>120</v>
      </c>
      <c r="I553" s="156" t="s">
        <v>121</v>
      </c>
      <c r="J553" s="156" t="s">
        <v>122</v>
      </c>
      <c r="K553" s="154" t="s">
        <v>123</v>
      </c>
      <c r="L553" s="342" t="s">
        <v>12</v>
      </c>
    </row>
    <row r="554" spans="2:12" ht="16.5" customHeight="1" thickBot="1">
      <c r="B554" s="346"/>
      <c r="C554" s="164" t="s">
        <v>13</v>
      </c>
      <c r="D554" s="159" t="s">
        <v>13</v>
      </c>
      <c r="E554" s="159" t="s">
        <v>13</v>
      </c>
      <c r="F554" s="160" t="s">
        <v>13</v>
      </c>
      <c r="G554" s="351"/>
      <c r="H554" s="153" t="s">
        <v>13</v>
      </c>
      <c r="I554" s="157" t="s">
        <v>13</v>
      </c>
      <c r="J554" s="157" t="s">
        <v>13</v>
      </c>
      <c r="K554" s="155" t="s">
        <v>13</v>
      </c>
      <c r="L554" s="343"/>
    </row>
    <row r="555" spans="2:12" ht="30" customHeight="1">
      <c r="B555" s="111" t="s">
        <v>111</v>
      </c>
      <c r="C555" s="235">
        <v>191</v>
      </c>
      <c r="D555" s="235">
        <v>545.20000000000005</v>
      </c>
      <c r="E555" s="235">
        <v>455.35</v>
      </c>
      <c r="F555" s="236">
        <v>286.94</v>
      </c>
      <c r="G555" s="237">
        <f t="shared" ref="G555:G560" si="118">F555+E555+D555+C555</f>
        <v>1478.49</v>
      </c>
      <c r="H555" s="238">
        <v>566.6</v>
      </c>
      <c r="I555" s="238">
        <v>287.8</v>
      </c>
      <c r="J555" s="238">
        <v>164.45</v>
      </c>
      <c r="K555" s="238">
        <v>161.69999999999999</v>
      </c>
      <c r="L555" s="238">
        <f t="shared" ref="L555:L560" si="119">K555+J555+I555+H555</f>
        <v>1180.5500000000002</v>
      </c>
    </row>
    <row r="556" spans="2:12" ht="30" customHeight="1">
      <c r="B556" s="112" t="s">
        <v>112</v>
      </c>
      <c r="C556" s="239">
        <v>0</v>
      </c>
      <c r="D556" s="239">
        <v>0</v>
      </c>
      <c r="E556" s="239">
        <v>0</v>
      </c>
      <c r="F556" s="240">
        <v>75.099999999999994</v>
      </c>
      <c r="G556" s="241">
        <f t="shared" si="118"/>
        <v>75.099999999999994</v>
      </c>
      <c r="H556" s="241">
        <v>0</v>
      </c>
      <c r="I556" s="241">
        <v>6</v>
      </c>
      <c r="J556" s="241">
        <v>0</v>
      </c>
      <c r="K556" s="241">
        <v>75.099999999999994</v>
      </c>
      <c r="L556" s="241">
        <f t="shared" si="119"/>
        <v>81.099999999999994</v>
      </c>
    </row>
    <row r="557" spans="2:12" ht="30" customHeight="1">
      <c r="B557" s="112" t="s">
        <v>125</v>
      </c>
      <c r="C557" s="239">
        <v>61</v>
      </c>
      <c r="D557" s="239">
        <v>59.31</v>
      </c>
      <c r="E557" s="239">
        <v>92.46</v>
      </c>
      <c r="F557" s="240">
        <v>80.489999999999995</v>
      </c>
      <c r="G557" s="241">
        <f t="shared" si="118"/>
        <v>293.26</v>
      </c>
      <c r="H557" s="241">
        <v>126.2</v>
      </c>
      <c r="I557" s="241">
        <v>36.799999999999997</v>
      </c>
      <c r="J557" s="241">
        <v>57.27</v>
      </c>
      <c r="K557" s="241">
        <v>91.62</v>
      </c>
      <c r="L557" s="241">
        <f t="shared" si="119"/>
        <v>311.89</v>
      </c>
    </row>
    <row r="558" spans="2:12" ht="30" customHeight="1">
      <c r="B558" s="112" t="s">
        <v>114</v>
      </c>
      <c r="C558" s="239">
        <v>0</v>
      </c>
      <c r="D558" s="239">
        <v>0</v>
      </c>
      <c r="E558" s="239">
        <v>0</v>
      </c>
      <c r="F558" s="240">
        <v>0</v>
      </c>
      <c r="G558" s="241">
        <f>F558+E558+D558+C558</f>
        <v>0</v>
      </c>
      <c r="H558" s="241">
        <v>0</v>
      </c>
      <c r="I558" s="241">
        <v>0</v>
      </c>
      <c r="J558" s="241">
        <v>2</v>
      </c>
      <c r="K558" s="241">
        <v>2</v>
      </c>
      <c r="L558" s="241">
        <f t="shared" si="119"/>
        <v>4</v>
      </c>
    </row>
    <row r="559" spans="2:12" ht="30" customHeight="1">
      <c r="B559" s="112" t="s">
        <v>115</v>
      </c>
      <c r="C559" s="239">
        <v>165.31</v>
      </c>
      <c r="D559" s="239">
        <v>94.32</v>
      </c>
      <c r="E559" s="239">
        <v>85.46</v>
      </c>
      <c r="F559" s="240">
        <v>165.65</v>
      </c>
      <c r="G559" s="241">
        <f t="shared" si="118"/>
        <v>510.74</v>
      </c>
      <c r="H559" s="241">
        <v>173.08</v>
      </c>
      <c r="I559" s="241">
        <v>52.24</v>
      </c>
      <c r="J559" s="241">
        <v>90</v>
      </c>
      <c r="K559" s="241">
        <v>81</v>
      </c>
      <c r="L559" s="241">
        <f t="shared" si="119"/>
        <v>396.32000000000005</v>
      </c>
    </row>
    <row r="560" spans="2:12" ht="30" customHeight="1" thickBot="1">
      <c r="B560" s="150" t="s">
        <v>116</v>
      </c>
      <c r="C560" s="242">
        <v>88.5</v>
      </c>
      <c r="D560" s="242">
        <v>105</v>
      </c>
      <c r="E560" s="242">
        <v>187</v>
      </c>
      <c r="F560" s="243">
        <v>286.70999999999998</v>
      </c>
      <c r="G560" s="244">
        <f t="shared" si="118"/>
        <v>667.21</v>
      </c>
      <c r="H560" s="244">
        <v>177.5</v>
      </c>
      <c r="I560" s="244">
        <v>46</v>
      </c>
      <c r="J560" s="244">
        <v>65.400000000000006</v>
      </c>
      <c r="K560" s="244">
        <v>252.77</v>
      </c>
      <c r="L560" s="245">
        <f t="shared" si="119"/>
        <v>541.67000000000007</v>
      </c>
    </row>
    <row r="561" spans="2:12" ht="5.25" customHeight="1" thickBot="1">
      <c r="B561" s="151"/>
      <c r="C561" s="246"/>
      <c r="D561" s="246"/>
      <c r="E561" s="246"/>
      <c r="F561" s="246"/>
      <c r="G561" s="247"/>
      <c r="H561" s="248"/>
      <c r="I561" s="248"/>
      <c r="J561" s="248"/>
      <c r="K561" s="248"/>
      <c r="L561" s="247"/>
    </row>
    <row r="562" spans="2:12" ht="30" customHeight="1" thickBot="1">
      <c r="B562" s="158" t="s">
        <v>518</v>
      </c>
      <c r="C562" s="249">
        <f t="shared" ref="C562:L562" si="120">SUM(C555:C560)</f>
        <v>505.81</v>
      </c>
      <c r="D562" s="249">
        <f t="shared" si="120"/>
        <v>803.82999999999993</v>
      </c>
      <c r="E562" s="249">
        <f t="shared" si="120"/>
        <v>820.2700000000001</v>
      </c>
      <c r="F562" s="249">
        <f t="shared" si="120"/>
        <v>894.88999999999987</v>
      </c>
      <c r="G562" s="249">
        <f t="shared" si="120"/>
        <v>3024.8</v>
      </c>
      <c r="H562" s="249">
        <f t="shared" si="120"/>
        <v>1043.3800000000001</v>
      </c>
      <c r="I562" s="249">
        <f t="shared" si="120"/>
        <v>428.84000000000003</v>
      </c>
      <c r="J562" s="249">
        <f t="shared" si="120"/>
        <v>379.12</v>
      </c>
      <c r="K562" s="249">
        <f t="shared" si="120"/>
        <v>664.18999999999994</v>
      </c>
      <c r="L562" s="249">
        <f t="shared" si="120"/>
        <v>2515.5300000000002</v>
      </c>
    </row>
    <row r="563" spans="2:12" ht="17.25" customHeight="1">
      <c r="B563" s="184" t="s">
        <v>1182</v>
      </c>
    </row>
  </sheetData>
  <mergeCells count="27">
    <mergeCell ref="B19:B21"/>
    <mergeCell ref="B14:B17"/>
    <mergeCell ref="H552:L552"/>
    <mergeCell ref="L553:L554"/>
    <mergeCell ref="B544:C544"/>
    <mergeCell ref="B545:C545"/>
    <mergeCell ref="B547:C547"/>
    <mergeCell ref="B552:B554"/>
    <mergeCell ref="C552:G552"/>
    <mergeCell ref="G553:G554"/>
    <mergeCell ref="B529:C529"/>
    <mergeCell ref="B530:C530"/>
    <mergeCell ref="B493:C493"/>
    <mergeCell ref="B505:C505"/>
    <mergeCell ref="B459:C459"/>
    <mergeCell ref="B22:B27"/>
    <mergeCell ref="B108:C108"/>
    <mergeCell ref="B174:C174"/>
    <mergeCell ref="B255:C255"/>
    <mergeCell ref="B358:C358"/>
    <mergeCell ref="B359:C359"/>
    <mergeCell ref="B8:B13"/>
    <mergeCell ref="B2:H2"/>
    <mergeCell ref="B3:H3"/>
    <mergeCell ref="B4:B6"/>
    <mergeCell ref="D4:H4"/>
    <mergeCell ref="H5:H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Prasetya</dc:creator>
  <cp:lastModifiedBy>Kabelindo Murni</cp:lastModifiedBy>
  <cp:lastPrinted>2026-01-09T09:04:12Z</cp:lastPrinted>
  <dcterms:created xsi:type="dcterms:W3CDTF">2024-08-02T07:55:14Z</dcterms:created>
  <dcterms:modified xsi:type="dcterms:W3CDTF">2026-01-12T09:00:29Z</dcterms:modified>
</cp:coreProperties>
</file>